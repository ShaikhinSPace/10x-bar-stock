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d.docs.live.net/EC35C791A8182798/Documents/"/>
    </mc:Choice>
  </mc:AlternateContent>
  <xr:revisionPtr revIDLastSave="0" documentId="8_{9E2A1489-CA56-4C65-A0A1-53777A2290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" sheetId="1" r:id="rId1"/>
    <sheet name="Dashboard" sheetId="4" r:id="rId2"/>
    <sheet name="Stock In" sheetId="2" r:id="rId3"/>
    <sheet name="Stock Out" sheetId="3" r:id="rId4"/>
    <sheet name="Patio Bar" sheetId="6" r:id="rId5"/>
    <sheet name="Back Bar" sheetId="7" r:id="rId6"/>
    <sheet name="Lists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8" i="1"/>
  <c r="D19" i="1"/>
  <c r="D20" i="1"/>
  <c r="D21" i="1"/>
  <c r="D22" i="1"/>
  <c r="D23" i="1"/>
  <c r="D24" i="1"/>
  <c r="D25" i="1"/>
  <c r="D26" i="1"/>
  <c r="D27" i="1"/>
  <c r="F115" i="1"/>
  <c r="F116" i="1"/>
  <c r="F117" i="1"/>
  <c r="H117" i="1" s="1"/>
  <c r="F118" i="1"/>
  <c r="F119" i="1"/>
  <c r="H119" i="1" s="1"/>
  <c r="F120" i="1"/>
  <c r="H120" i="1" s="1"/>
  <c r="F121" i="1"/>
  <c r="F122" i="1"/>
  <c r="F123" i="1"/>
  <c r="F124" i="1"/>
  <c r="F125" i="1"/>
  <c r="F126" i="1"/>
  <c r="F127" i="1"/>
  <c r="F128" i="1"/>
  <c r="F129" i="1"/>
  <c r="F130" i="1"/>
  <c r="B4" i="4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25" i="1"/>
  <c r="H126" i="1"/>
  <c r="H127" i="1"/>
  <c r="H128" i="1"/>
  <c r="H129" i="1"/>
  <c r="H130" i="1"/>
  <c r="H131" i="1"/>
  <c r="H132" i="1"/>
  <c r="H133" i="1"/>
  <c r="H115" i="1"/>
  <c r="H116" i="1"/>
  <c r="H118" i="1"/>
  <c r="H121" i="1"/>
  <c r="H122" i="1"/>
  <c r="H123" i="1"/>
  <c r="H124" i="1"/>
  <c r="F109" i="1"/>
  <c r="F110" i="1"/>
  <c r="H110" i="1" s="1"/>
  <c r="F111" i="1"/>
  <c r="F112" i="1"/>
  <c r="F113" i="1"/>
  <c r="F114" i="1"/>
  <c r="H114" i="1" s="1"/>
  <c r="H109" i="1"/>
  <c r="H111" i="1"/>
  <c r="H112" i="1"/>
  <c r="H113" i="1"/>
  <c r="F106" i="1"/>
  <c r="F107" i="1"/>
  <c r="F108" i="1"/>
  <c r="H108" i="1" s="1"/>
  <c r="F105" i="1"/>
  <c r="H105" i="1" s="1"/>
  <c r="F104" i="1"/>
  <c r="F103" i="1"/>
  <c r="F102" i="1"/>
  <c r="H103" i="1"/>
  <c r="H104" i="1"/>
  <c r="H106" i="1"/>
  <c r="H107" i="1"/>
  <c r="H102" i="1"/>
  <c r="F78" i="1"/>
  <c r="H78" i="1" s="1"/>
  <c r="F79" i="1"/>
  <c r="H79" i="1" s="1"/>
  <c r="F82" i="1"/>
  <c r="H82" i="1" s="1"/>
  <c r="F83" i="1"/>
  <c r="H83" i="1" s="1"/>
  <c r="F84" i="1"/>
  <c r="H84" i="1" s="1"/>
  <c r="F74" i="1"/>
  <c r="F75" i="1"/>
  <c r="H76" i="1"/>
  <c r="F61" i="1"/>
  <c r="H61" i="1" s="1"/>
  <c r="F55" i="1"/>
  <c r="F41" i="1"/>
  <c r="H41" i="1" s="1"/>
  <c r="F17" i="1"/>
  <c r="H17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4" i="1"/>
  <c r="F49" i="1"/>
  <c r="H49" i="1" s="1"/>
  <c r="F50" i="1"/>
  <c r="H50" i="1" s="1"/>
  <c r="F51" i="1"/>
  <c r="H51" i="1" s="1"/>
  <c r="F52" i="1"/>
  <c r="H52" i="1" s="1"/>
  <c r="F46" i="1"/>
  <c r="H46" i="1" s="1"/>
  <c r="F47" i="1"/>
  <c r="H47" i="1" s="1"/>
  <c r="D16" i="1"/>
  <c r="F32" i="1"/>
  <c r="H32" i="1" s="1"/>
  <c r="F33" i="1"/>
  <c r="H33" i="1" s="1"/>
  <c r="F34" i="1"/>
  <c r="H34" i="1" s="1"/>
  <c r="H35" i="1"/>
  <c r="F36" i="1"/>
  <c r="H36" i="1" s="1"/>
  <c r="F38" i="1"/>
  <c r="H38" i="1" s="1"/>
  <c r="F39" i="1"/>
  <c r="H39" i="1" s="1"/>
  <c r="F40" i="1"/>
  <c r="H40" i="1" s="1"/>
  <c r="F42" i="1"/>
  <c r="H42" i="1" s="1"/>
  <c r="F27" i="1"/>
  <c r="H27" i="1" s="1"/>
  <c r="F28" i="1"/>
  <c r="H28" i="1" s="1"/>
  <c r="F23" i="1"/>
  <c r="H23" i="1" s="1"/>
  <c r="F24" i="1"/>
  <c r="H24" i="1" s="1"/>
  <c r="E25" i="1"/>
  <c r="F25" i="1" s="1"/>
  <c r="H25" i="1" s="1"/>
  <c r="F26" i="1"/>
  <c r="H26" i="1" s="1"/>
  <c r="F29" i="1"/>
  <c r="H29" i="1" s="1"/>
  <c r="F30" i="1"/>
  <c r="H30" i="1" s="1"/>
  <c r="D5" i="1"/>
  <c r="F5" i="1" s="1"/>
  <c r="H5" i="1" s="1"/>
  <c r="D6" i="1"/>
  <c r="D7" i="1"/>
  <c r="F7" i="1" s="1"/>
  <c r="D8" i="1"/>
  <c r="D9" i="1"/>
  <c r="F9" i="1" s="1"/>
  <c r="H9" i="1" s="1"/>
  <c r="D10" i="1"/>
  <c r="F10" i="1" s="1"/>
  <c r="H10" i="1" s="1"/>
  <c r="D11" i="1"/>
  <c r="F11" i="1" s="1"/>
  <c r="D12" i="1"/>
  <c r="D13" i="1"/>
  <c r="D14" i="1"/>
  <c r="D15" i="1"/>
  <c r="F15" i="1" s="1"/>
  <c r="H15" i="1" s="1"/>
  <c r="F18" i="1"/>
  <c r="H18" i="1" s="1"/>
  <c r="H19" i="1"/>
  <c r="F20" i="1"/>
  <c r="H20" i="1" s="1"/>
  <c r="F21" i="1"/>
  <c r="H21" i="1" s="1"/>
  <c r="F22" i="1"/>
  <c r="H22" i="1" s="1"/>
  <c r="F4" i="1"/>
  <c r="F101" i="1"/>
  <c r="H101" i="1" s="1"/>
  <c r="F100" i="1"/>
  <c r="H100" i="1" s="1"/>
  <c r="F99" i="1"/>
  <c r="H99" i="1" s="1"/>
  <c r="F98" i="1"/>
  <c r="H98" i="1" s="1"/>
  <c r="F97" i="1"/>
  <c r="H97" i="1" s="1"/>
  <c r="F96" i="1"/>
  <c r="H96" i="1" s="1"/>
  <c r="F95" i="1"/>
  <c r="H95" i="1" s="1"/>
  <c r="F94" i="1"/>
  <c r="H94" i="1" s="1"/>
  <c r="F93" i="1"/>
  <c r="H93" i="1" s="1"/>
  <c r="F92" i="1"/>
  <c r="H92" i="1" s="1"/>
  <c r="F91" i="1"/>
  <c r="H91" i="1" s="1"/>
  <c r="F90" i="1"/>
  <c r="H90" i="1" s="1"/>
  <c r="F89" i="1"/>
  <c r="H89" i="1" s="1"/>
  <c r="F88" i="1"/>
  <c r="H88" i="1" s="1"/>
  <c r="F87" i="1"/>
  <c r="H87" i="1" s="1"/>
  <c r="F86" i="1"/>
  <c r="H86" i="1" s="1"/>
  <c r="F85" i="1"/>
  <c r="H85" i="1" s="1"/>
  <c r="H75" i="1"/>
  <c r="H73" i="1"/>
  <c r="F60" i="1"/>
  <c r="H60" i="1" s="1"/>
  <c r="F59" i="1"/>
  <c r="H59" i="1" s="1"/>
  <c r="F58" i="1"/>
  <c r="H58" i="1" s="1"/>
  <c r="F57" i="1"/>
  <c r="H57" i="1" s="1"/>
  <c r="F56" i="1"/>
  <c r="H56" i="1" s="1"/>
  <c r="H55" i="1"/>
  <c r="F54" i="1"/>
  <c r="H54" i="1" s="1"/>
  <c r="F53" i="1"/>
  <c r="H53" i="1" s="1"/>
  <c r="F48" i="1"/>
  <c r="H48" i="1" s="1"/>
  <c r="F45" i="1"/>
  <c r="H45" i="1" s="1"/>
  <c r="F44" i="1"/>
  <c r="H44" i="1" s="1"/>
  <c r="F43" i="1"/>
  <c r="H43" i="1" s="1"/>
  <c r="F37" i="1"/>
  <c r="H37" i="1" s="1"/>
  <c r="F31" i="1"/>
  <c r="H31" i="1" s="1"/>
  <c r="F77" i="1" l="1"/>
  <c r="H77" i="1" s="1"/>
  <c r="F81" i="1"/>
  <c r="H81" i="1" s="1"/>
  <c r="F80" i="1"/>
  <c r="F8" i="1"/>
  <c r="H8" i="1" s="1"/>
  <c r="H7" i="1"/>
  <c r="F6" i="1"/>
  <c r="H6" i="1" s="1"/>
  <c r="F13" i="1"/>
  <c r="H13" i="1" s="1"/>
  <c r="F14" i="1"/>
  <c r="H14" i="1" s="1"/>
  <c r="F12" i="1"/>
  <c r="H12" i="1" s="1"/>
  <c r="F16" i="1"/>
  <c r="H16" i="1" s="1"/>
  <c r="H11" i="1"/>
  <c r="H4" i="1"/>
  <c r="H80" i="1" l="1"/>
  <c r="B10" i="4" s="1" a="1"/>
  <c r="B10" i="4" s="1"/>
  <c r="B5" i="4"/>
  <c r="A10" i="4" a="1"/>
  <c r="A10" i="4" s="1"/>
  <c r="B6" i="4"/>
  <c r="C10" i="4" a="1"/>
  <c r="C1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<sst xmlns="http://schemas.openxmlformats.org/spreadsheetml/2006/main" count="533" uniqueCount="174">
  <si>
    <t>10X BAR STOCK MANAGEMENT</t>
  </si>
  <si>
    <t>Particular</t>
  </si>
  <si>
    <t>Category</t>
  </si>
  <si>
    <t>Opening Stock</t>
  </si>
  <si>
    <t>Stock IN</t>
  </si>
  <si>
    <t>Stock OUT</t>
  </si>
  <si>
    <t>Current Stock</t>
  </si>
  <si>
    <t>Reorder Level</t>
  </si>
  <si>
    <t>Remarks</t>
  </si>
  <si>
    <t>WELL WHISKEY</t>
  </si>
  <si>
    <t>WHISKEY</t>
  </si>
  <si>
    <t>JACK DANIELS</t>
  </si>
  <si>
    <t>MAKERS MARK</t>
  </si>
  <si>
    <t>WOODFORD RESERVE</t>
  </si>
  <si>
    <t>BUFFALO TRACE</t>
  </si>
  <si>
    <t>CROWN ROYAL</t>
  </si>
  <si>
    <t>CROWN ROYAL APPLE</t>
  </si>
  <si>
    <t>CROWN ROYAL VANILLA</t>
  </si>
  <si>
    <t>CROWN ROYAL PEACH</t>
  </si>
  <si>
    <t>JAMESON</t>
  </si>
  <si>
    <t>JAMESON ORANGE</t>
  </si>
  <si>
    <t>TX WHISKEY</t>
  </si>
  <si>
    <t>BUCHANAN</t>
  </si>
  <si>
    <t>BUCHANAN PINEAPPLE</t>
  </si>
  <si>
    <t>McAllen 18 Yr</t>
  </si>
  <si>
    <t>McAllen 12 Yr</t>
  </si>
  <si>
    <t>BLUE LABEL</t>
  </si>
  <si>
    <t>RED LABEL</t>
  </si>
  <si>
    <t>BLACK LABEL</t>
  </si>
  <si>
    <t>DEWARS</t>
  </si>
  <si>
    <t>DEEP EDDY LEMON</t>
  </si>
  <si>
    <t>VODKA</t>
  </si>
  <si>
    <t>DEEP EDDY RUBY</t>
  </si>
  <si>
    <t xml:space="preserve"> </t>
  </si>
  <si>
    <t>GREY GOOSE</t>
  </si>
  <si>
    <t>KETTLE ONE</t>
  </si>
  <si>
    <t>Titos</t>
  </si>
  <si>
    <t>WELL VODKA</t>
  </si>
  <si>
    <t>WESTERNSON STRAWBERRY</t>
  </si>
  <si>
    <t>CASAMIGOS BLANCO</t>
  </si>
  <si>
    <t>TEQUILA</t>
  </si>
  <si>
    <t>CASAMIGOS REPO</t>
  </si>
  <si>
    <t>CLASE AZUL</t>
  </si>
  <si>
    <t>DON JULIO 1942</t>
  </si>
  <si>
    <t>DON JULIO 70</t>
  </si>
  <si>
    <t>DON JULIO ANEJO</t>
  </si>
  <si>
    <t>DON JULIO BLANCO</t>
  </si>
  <si>
    <t>DON JULIO REPO</t>
  </si>
  <si>
    <t>ESPOLON</t>
  </si>
  <si>
    <t>ESPOLON REPO</t>
  </si>
  <si>
    <t>PATRON SLIVER</t>
  </si>
  <si>
    <t>PATRON REPO</t>
  </si>
  <si>
    <t>WELL TEQUILA</t>
  </si>
  <si>
    <t>WELL GIN</t>
  </si>
  <si>
    <t>GIN</t>
  </si>
  <si>
    <t>BOMBAY SAPPHIRE</t>
  </si>
  <si>
    <t>TANQERY</t>
  </si>
  <si>
    <t>HENDRIX</t>
  </si>
  <si>
    <t>BACARDI</t>
  </si>
  <si>
    <t>RUM</t>
  </si>
  <si>
    <t>CAPTAIN MORGAN SPICED</t>
  </si>
  <si>
    <t>MALIBU</t>
  </si>
  <si>
    <t>RUMCHATA</t>
  </si>
  <si>
    <t>WELL RUM COCONUT</t>
  </si>
  <si>
    <t>WELL RUM SILVER</t>
  </si>
  <si>
    <t>D'USSE</t>
  </si>
  <si>
    <t>OTHER</t>
  </si>
  <si>
    <t>FIREBALL</t>
  </si>
  <si>
    <t>GRAND MARNIER</t>
  </si>
  <si>
    <t>HENNESSY</t>
  </si>
  <si>
    <t>JAEGERMEISTER</t>
  </si>
  <si>
    <t>RUMPLE</t>
  </si>
  <si>
    <t>SKREWBALL</t>
  </si>
  <si>
    <t>Bud light</t>
  </si>
  <si>
    <t>BEER</t>
  </si>
  <si>
    <t>Budweiser</t>
  </si>
  <si>
    <t>Coors</t>
  </si>
  <si>
    <t>Coors Banquet</t>
  </si>
  <si>
    <t>Corona</t>
  </si>
  <si>
    <t>Dos XX</t>
  </si>
  <si>
    <t>Heineken</t>
  </si>
  <si>
    <t>High noon</t>
  </si>
  <si>
    <t>Miller</t>
  </si>
  <si>
    <t>Modelo</t>
  </si>
  <si>
    <t>Nutrl</t>
  </si>
  <si>
    <t>Shiner</t>
  </si>
  <si>
    <t>Twisted Tea</t>
  </si>
  <si>
    <t>Ultra</t>
  </si>
  <si>
    <t>Ultra 00</t>
  </si>
  <si>
    <t>White Claw</t>
  </si>
  <si>
    <t>KAHLUA</t>
  </si>
  <si>
    <t xml:space="preserve">BARTON'S LONG ISLAND </t>
  </si>
  <si>
    <t xml:space="preserve">BAILEYS </t>
  </si>
  <si>
    <t>HYPNOTIQ</t>
  </si>
  <si>
    <t>ESPRESSO</t>
  </si>
  <si>
    <t>CHAMBORD</t>
  </si>
  <si>
    <t>TUACA</t>
  </si>
  <si>
    <t>TRIPLE SEC</t>
  </si>
  <si>
    <t xml:space="preserve">CALYPSO COCONUT </t>
  </si>
  <si>
    <t>SOUR APPLE SHNAPPS</t>
  </si>
  <si>
    <t>BLUE CARACAO</t>
  </si>
  <si>
    <t>CRÈME DE BANANA</t>
  </si>
  <si>
    <t>AMARETTO</t>
  </si>
  <si>
    <t>WATERMELON SHNAPPS</t>
  </si>
  <si>
    <t>MELON LIQUEUR</t>
  </si>
  <si>
    <t>HENNESSY VSOP</t>
  </si>
  <si>
    <t>STRAWBERRY WESTERN SON</t>
  </si>
  <si>
    <t>PEACH SHNAPPS</t>
  </si>
  <si>
    <t>WYCLIFF</t>
  </si>
  <si>
    <t>WINE</t>
  </si>
  <si>
    <t>ANDRE</t>
  </si>
  <si>
    <t>MOET</t>
  </si>
  <si>
    <t>TREZOR</t>
  </si>
  <si>
    <t xml:space="preserve">LIME JUICE </t>
  </si>
  <si>
    <t>MIXER</t>
  </si>
  <si>
    <t>LEMON JUICE</t>
  </si>
  <si>
    <t>SIMPLE SYRUP</t>
  </si>
  <si>
    <t>OLIVE JUICE</t>
  </si>
  <si>
    <t>ZING ZANG</t>
  </si>
  <si>
    <t>MANGO PUREE</t>
  </si>
  <si>
    <t>AGAVE</t>
  </si>
  <si>
    <t>STRAWBERRY PUREE</t>
  </si>
  <si>
    <t>GRENADINE</t>
  </si>
  <si>
    <t>PICKLE JUICE</t>
  </si>
  <si>
    <t>MARGARITA SALT</t>
  </si>
  <si>
    <t>TAJIN</t>
  </si>
  <si>
    <t>TABASCO</t>
  </si>
  <si>
    <t>RASPBERRY PUREE</t>
  </si>
  <si>
    <t>PASSION FRUIT</t>
  </si>
  <si>
    <t>POMEGRANATE</t>
  </si>
  <si>
    <t>SWEET N SOUR</t>
  </si>
  <si>
    <t>ORANGE BITTERS</t>
  </si>
  <si>
    <t xml:space="preserve">AROMA BITTERS </t>
  </si>
  <si>
    <t>del viejo silver tequilla</t>
  </si>
  <si>
    <t>Boston butter scotch</t>
  </si>
  <si>
    <t xml:space="preserve">Absolute vanilla </t>
  </si>
  <si>
    <t>Pineapple Juice</t>
  </si>
  <si>
    <t>Cranberry Juice</t>
  </si>
  <si>
    <t>10X BAR INVENTORY DASHBOARD</t>
  </si>
  <si>
    <t>Summary</t>
  </si>
  <si>
    <t>Value</t>
  </si>
  <si>
    <t>HOW TO USE
1. Enter opening stock in Inventory.
2. Record every purchase in Stock In.
3. Record every sale/use in Stock Out.
4. Current stock and reorder status update automatically.</t>
  </si>
  <si>
    <t>Total Product Lines</t>
  </si>
  <si>
    <t>Total Bottles in Stock</t>
  </si>
  <si>
    <t>Items to Reorder</t>
  </si>
  <si>
    <t>Low Stock Item</t>
  </si>
  <si>
    <t>STOCK IN / PURCHASE ENTRY</t>
  </si>
  <si>
    <t>Date</t>
  </si>
  <si>
    <t>Invoice #</t>
  </si>
  <si>
    <t>Item</t>
  </si>
  <si>
    <t>Quantity</t>
  </si>
  <si>
    <t>Supplier</t>
  </si>
  <si>
    <t>Entered By</t>
  </si>
  <si>
    <t>STOCK OUT / USAGE ENTRY</t>
  </si>
  <si>
    <t>Reference #</t>
  </si>
  <si>
    <t>Reason</t>
  </si>
  <si>
    <t>10X FRONT BAR STOCK</t>
  </si>
  <si>
    <t>Opening Date</t>
  </si>
  <si>
    <t>CALYPSO SILVER</t>
  </si>
  <si>
    <t>OK</t>
  </si>
  <si>
    <t>REORDER</t>
  </si>
  <si>
    <t>TAAKA</t>
  </si>
  <si>
    <t>CASAMIGOS</t>
  </si>
  <si>
    <t>BARTON NATURALS</t>
  </si>
  <si>
    <t>KENTUCKY GENTLEMAN</t>
  </si>
  <si>
    <t>BARTON'S LONG ISLAND</t>
  </si>
  <si>
    <t>DON JULIO</t>
  </si>
  <si>
    <t>JAGERMEISTER</t>
  </si>
  <si>
    <t>Absolute vanilla</t>
  </si>
  <si>
    <t>10X BACK BAR STOCK</t>
  </si>
  <si>
    <t>SCREWBALL</t>
  </si>
  <si>
    <t>BAILEYS</t>
  </si>
  <si>
    <t>BLUE ICE</t>
  </si>
  <si>
    <t>BUCANA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</si>
</sst>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9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5"/>
      <color rgb="FFFFFFFF"/>
      <name val="Carlito"/>
    </font>
    <font>
      <sz val="11"/>
      <color rgb="FF334155"/>
      <name val="Carlito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9A3412"/>
      <name val="Arial"/>
      <charset val="1"/>
    </font>
    <font>
      <sz val="11"/>
      <name val="Calibri"/>
      <charset val="1"/>
    </font>
    <font>
      <b/>
      <sz val="11"/>
      <name val="Arial"/>
      <charset val="1"/>
    </font>
    <font>
      <b/>
      <sz val="11"/>
      <color rgb="FF375623"/>
      <name val="Arial"/>
      <charset val="1"/>
    </font>
    <font>
      <b/>
      <sz val="10"/>
      <color rgb="FF92400E"/>
      <name val="Arial"/>
      <charset val="1"/>
    </font>
    <font>
      <b/>
      <sz val="10"/>
      <color rgb="FF3730A3"/>
      <name val="Arial"/>
      <charset val="1"/>
    </font>
    <font>
      <b/>
      <sz val="11"/>
      <color rgb="FF9C0006"/>
      <name val="Arial"/>
      <charset val="1"/>
    </font>
    <font>
      <b/>
      <sz val="10"/>
      <color rgb="FF075985"/>
      <name val="Arial"/>
      <charset val="1"/>
    </font>
    <font>
      <b/>
      <sz val="10"/>
      <color rgb="FF5B21B6"/>
      <name val="Arial"/>
      <charset val="1"/>
    </font>
    <font>
      <b/>
      <sz val="10"/>
      <color rgb="FF065F46"/>
      <name val="Arial"/>
      <charset val="1"/>
    </font>
    <font>
      <b/>
      <sz val="10"/>
      <color rgb="FF334155"/>
      <name val="Arial"/>
      <charset val="1"/>
    </font>
    <font>
      <b/>
      <sz val="13"/>
      <color rgb="FFFFFFFF"/>
      <name val="Arial"/>
      <charset val="1"/>
    </font>
  </fonts>
  <fills count="28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FEF3C7"/>
      </patternFill>
    </fill>
    <fill>
      <patternFill patternType="solid">
        <fgColor rgb="FFEFF6FF"/>
      </patternFill>
    </fill>
    <fill>
      <patternFill patternType="solid">
        <fgColor rgb="FF065F46"/>
      </patternFill>
    </fill>
    <fill>
      <patternFill patternType="solid">
        <fgColor rgb="FF10B981"/>
      </patternFill>
    </fill>
    <fill>
      <patternFill patternType="solid">
        <fgColor rgb="FF991B1B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F8FAFC"/>
      </patternFill>
    </fill>
    <fill>
      <patternFill patternType="solid">
        <fgColor rgb="FF8B5CF6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DE68A"/>
        <bgColor indexed="64"/>
      </patternFill>
    </fill>
    <fill>
      <patternFill patternType="solid">
        <fgColor rgb="FFC7D2FE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BAE6FD"/>
        <bgColor indexed="64"/>
      </patternFill>
    </fill>
    <fill>
      <patternFill patternType="solid">
        <fgColor rgb="FFDDD6FE"/>
        <bgColor indexed="64"/>
      </patternFill>
    </fill>
    <fill>
      <patternFill patternType="solid">
        <fgColor rgb="FFA7F3D0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1E7145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6A2E8C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E5E7EB"/>
      </right>
      <top style="thin">
        <color rgb="FFCCCCCC"/>
      </top>
      <bottom style="thin">
        <color rgb="FFE5E7EB"/>
      </bottom>
      <diagonal/>
    </border>
    <border>
      <left style="thin">
        <color rgb="FFCCCCCC"/>
      </left>
      <right style="thin">
        <color rgb="FFE5E7EB"/>
      </right>
      <top style="thin">
        <color rgb="FFCCCCCC"/>
      </top>
      <bottom style="thin">
        <color rgb="FFE5E7EB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E5E7EB"/>
      </bottom>
      <diagonal/>
    </border>
    <border>
      <left style="thin">
        <color rgb="FF000000"/>
      </left>
      <right style="thin">
        <color rgb="FFE5E7EB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E5E7EB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E5E7E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E5E7EB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4" borderId="0" xfId="0" applyFont="1" applyFill="1" applyAlignment="1">
      <alignment horizontal="center" vertical="center" wrapText="1"/>
    </xf>
    <xf numFmtId="1" fontId="0" fillId="0" borderId="0" xfId="0" applyNumberFormat="1"/>
    <xf numFmtId="1" fontId="0" fillId="5" borderId="0" xfId="0" applyNumberFormat="1" applyFill="1"/>
    <xf numFmtId="1" fontId="0" fillId="6" borderId="0" xfId="0" applyNumberFormat="1" applyFill="1"/>
    <xf numFmtId="0" fontId="1" fillId="4" borderId="0" xfId="0" applyFont="1" applyFill="1" applyAlignment="1">
      <alignment horizontal="center"/>
    </xf>
    <xf numFmtId="0" fontId="0" fillId="0" borderId="1" xfId="0" applyBorder="1"/>
    <xf numFmtId="1" fontId="0" fillId="5" borderId="1" xfId="0" applyNumberFormat="1" applyFill="1" applyBorder="1"/>
    <xf numFmtId="1" fontId="0" fillId="6" borderId="1" xfId="0" applyNumberFormat="1" applyFill="1" applyBorder="1"/>
    <xf numFmtId="1" fontId="0" fillId="6" borderId="1" xfId="0" applyNumberForma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64" fontId="0" fillId="0" borderId="1" xfId="0" applyNumberFormat="1" applyBorder="1"/>
    <xf numFmtId="1" fontId="0" fillId="0" borderId="1" xfId="0" applyNumberFormat="1" applyBorder="1"/>
    <xf numFmtId="0" fontId="1" fillId="1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14" borderId="2" xfId="0" applyFont="1" applyFill="1" applyBorder="1" applyAlignment="1">
      <alignment readingOrder="1"/>
    </xf>
    <xf numFmtId="0" fontId="7" fillId="14" borderId="3" xfId="0" applyFont="1" applyFill="1" applyBorder="1" applyAlignment="1">
      <alignment readingOrder="1"/>
    </xf>
    <xf numFmtId="0" fontId="8" fillId="15" borderId="3" xfId="0" applyFont="1" applyFill="1" applyBorder="1" applyAlignment="1">
      <alignment readingOrder="1"/>
    </xf>
    <xf numFmtId="14" fontId="8" fillId="15" borderId="3" xfId="0" applyNumberFormat="1" applyFont="1" applyFill="1" applyBorder="1" applyAlignment="1">
      <alignment readingOrder="1"/>
    </xf>
    <xf numFmtId="0" fontId="8" fillId="16" borderId="3" xfId="0" applyFont="1" applyFill="1" applyBorder="1" applyAlignment="1">
      <alignment readingOrder="1"/>
    </xf>
    <xf numFmtId="0" fontId="9" fillId="16" borderId="3" xfId="0" applyFont="1" applyFill="1" applyBorder="1" applyAlignment="1">
      <alignment readingOrder="1"/>
    </xf>
    <xf numFmtId="0" fontId="10" fillId="17" borderId="4" xfId="0" applyFont="1" applyFill="1" applyBorder="1" applyAlignment="1">
      <alignment readingOrder="1"/>
    </xf>
    <xf numFmtId="0" fontId="6" fillId="18" borderId="2" xfId="0" applyFont="1" applyFill="1" applyBorder="1" applyAlignment="1">
      <alignment readingOrder="1"/>
    </xf>
    <xf numFmtId="0" fontId="11" fillId="18" borderId="3" xfId="0" applyFont="1" applyFill="1" applyBorder="1" applyAlignment="1">
      <alignment readingOrder="1"/>
    </xf>
    <xf numFmtId="0" fontId="6" fillId="19" borderId="2" xfId="0" applyFont="1" applyFill="1" applyBorder="1" applyAlignment="1">
      <alignment readingOrder="1"/>
    </xf>
    <xf numFmtId="0" fontId="12" fillId="19" borderId="3" xfId="0" applyFont="1" applyFill="1" applyBorder="1" applyAlignment="1">
      <alignment readingOrder="1"/>
    </xf>
    <xf numFmtId="0" fontId="13" fillId="20" borderId="4" xfId="0" applyFont="1" applyFill="1" applyBorder="1" applyAlignment="1">
      <alignment readingOrder="1"/>
    </xf>
    <xf numFmtId="0" fontId="6" fillId="21" borderId="2" xfId="0" applyFont="1" applyFill="1" applyBorder="1" applyAlignment="1">
      <alignment readingOrder="1"/>
    </xf>
    <xf numFmtId="0" fontId="14" fillId="21" borderId="3" xfId="0" applyFont="1" applyFill="1" applyBorder="1" applyAlignment="1">
      <alignment readingOrder="1"/>
    </xf>
    <xf numFmtId="0" fontId="6" fillId="22" borderId="2" xfId="0" applyFont="1" applyFill="1" applyBorder="1" applyAlignment="1">
      <alignment readingOrder="1"/>
    </xf>
    <xf numFmtId="0" fontId="15" fillId="22" borderId="3" xfId="0" applyFont="1" applyFill="1" applyBorder="1" applyAlignment="1">
      <alignment readingOrder="1"/>
    </xf>
    <xf numFmtId="0" fontId="6" fillId="23" borderId="2" xfId="0" applyFont="1" applyFill="1" applyBorder="1" applyAlignment="1">
      <alignment readingOrder="1"/>
    </xf>
    <xf numFmtId="0" fontId="16" fillId="23" borderId="3" xfId="0" applyFont="1" applyFill="1" applyBorder="1" applyAlignment="1">
      <alignment readingOrder="1"/>
    </xf>
    <xf numFmtId="0" fontId="6" fillId="24" borderId="2" xfId="0" applyFont="1" applyFill="1" applyBorder="1" applyAlignment="1">
      <alignment readingOrder="1"/>
    </xf>
    <xf numFmtId="0" fontId="17" fillId="24" borderId="3" xfId="0" applyFont="1" applyFill="1" applyBorder="1" applyAlignment="1">
      <alignment readingOrder="1"/>
    </xf>
    <xf numFmtId="0" fontId="6" fillId="14" borderId="5" xfId="0" applyFont="1" applyFill="1" applyBorder="1" applyAlignment="1">
      <alignment readingOrder="1"/>
    </xf>
    <xf numFmtId="0" fontId="7" fillId="14" borderId="6" xfId="0" applyFont="1" applyFill="1" applyBorder="1" applyAlignment="1">
      <alignment readingOrder="1"/>
    </xf>
    <xf numFmtId="0" fontId="8" fillId="15" borderId="6" xfId="0" applyFont="1" applyFill="1" applyBorder="1" applyAlignment="1">
      <alignment readingOrder="1"/>
    </xf>
    <xf numFmtId="14" fontId="8" fillId="15" borderId="6" xfId="0" applyNumberFormat="1" applyFont="1" applyFill="1" applyBorder="1" applyAlignment="1">
      <alignment readingOrder="1"/>
    </xf>
    <xf numFmtId="0" fontId="8" fillId="16" borderId="6" xfId="0" applyFont="1" applyFill="1" applyBorder="1" applyAlignment="1">
      <alignment readingOrder="1"/>
    </xf>
    <xf numFmtId="0" fontId="9" fillId="16" borderId="6" xfId="0" applyFont="1" applyFill="1" applyBorder="1" applyAlignment="1">
      <alignment readingOrder="1"/>
    </xf>
    <xf numFmtId="0" fontId="13" fillId="20" borderId="7" xfId="0" applyFont="1" applyFill="1" applyBorder="1" applyAlignment="1">
      <alignment readingOrder="1"/>
    </xf>
    <xf numFmtId="0" fontId="8" fillId="0" borderId="11" xfId="0" applyFont="1" applyBorder="1" applyAlignment="1">
      <alignment readingOrder="1"/>
    </xf>
    <xf numFmtId="0" fontId="8" fillId="0" borderId="12" xfId="0" applyFont="1" applyBorder="1" applyAlignment="1">
      <alignment readingOrder="1"/>
    </xf>
    <xf numFmtId="0" fontId="8" fillId="0" borderId="4" xfId="0" applyFont="1" applyBorder="1" applyAlignment="1">
      <alignment readingOrder="1"/>
    </xf>
    <xf numFmtId="0" fontId="5" fillId="26" borderId="2" xfId="0" applyFont="1" applyFill="1" applyBorder="1" applyAlignment="1">
      <alignment wrapText="1" readingOrder="1"/>
    </xf>
    <xf numFmtId="0" fontId="5" fillId="26" borderId="3" xfId="0" applyFont="1" applyFill="1" applyBorder="1" applyAlignment="1">
      <alignment wrapText="1" readingOrder="1"/>
    </xf>
    <xf numFmtId="0" fontId="5" fillId="26" borderId="4" xfId="0" applyFont="1" applyFill="1" applyBorder="1" applyAlignment="1">
      <alignment wrapText="1" readingOrder="1"/>
    </xf>
    <xf numFmtId="0" fontId="5" fillId="13" borderId="2" xfId="0" applyFont="1" applyFill="1" applyBorder="1" applyAlignment="1">
      <alignment wrapText="1" readingOrder="1"/>
    </xf>
    <xf numFmtId="0" fontId="5" fillId="13" borderId="3" xfId="0" applyFont="1" applyFill="1" applyBorder="1" applyAlignment="1">
      <alignment wrapText="1" readingOrder="1"/>
    </xf>
    <xf numFmtId="0" fontId="5" fillId="13" borderId="4" xfId="0" applyFont="1" applyFill="1" applyBorder="1" applyAlignment="1">
      <alignment wrapText="1" readingOrder="1"/>
    </xf>
    <xf numFmtId="0" fontId="8" fillId="0" borderId="13" xfId="0" applyFont="1" applyBorder="1" applyAlignment="1">
      <alignment readingOrder="1"/>
    </xf>
    <xf numFmtId="0" fontId="8" fillId="0" borderId="14" xfId="0" applyFont="1" applyBorder="1" applyAlignment="1">
      <alignment readingOrder="1"/>
    </xf>
    <xf numFmtId="0" fontId="8" fillId="0" borderId="7" xfId="0" applyFont="1" applyBorder="1" applyAlignment="1">
      <alignment readingOrder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4" fillId="12" borderId="1" xfId="0" applyFont="1" applyFill="1" applyBorder="1" applyAlignment="1">
      <alignment vertical="top" wrapText="1"/>
    </xf>
    <xf numFmtId="0" fontId="4" fillId="12" borderId="0" xfId="0" applyFont="1" applyFill="1" applyAlignment="1">
      <alignment vertical="top" wrapText="1"/>
    </xf>
    <xf numFmtId="0" fontId="3" fillId="7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18" fillId="25" borderId="8" xfId="0" applyFont="1" applyFill="1" applyBorder="1" applyAlignment="1">
      <alignment readingOrder="1"/>
    </xf>
    <xf numFmtId="0" fontId="18" fillId="25" borderId="9" xfId="0" applyFont="1" applyFill="1" applyBorder="1" applyAlignment="1">
      <alignment readingOrder="1"/>
    </xf>
    <xf numFmtId="0" fontId="18" fillId="25" borderId="10" xfId="0" applyFont="1" applyFill="1" applyBorder="1" applyAlignment="1">
      <alignment readingOrder="1"/>
    </xf>
    <xf numFmtId="0" fontId="18" fillId="27" borderId="8" xfId="0" applyFont="1" applyFill="1" applyBorder="1" applyAlignment="1">
      <alignment readingOrder="1"/>
    </xf>
    <xf numFmtId="0" fontId="18" fillId="27" borderId="9" xfId="0" applyFont="1" applyFill="1" applyBorder="1" applyAlignment="1">
      <alignment readingOrder="1"/>
    </xf>
    <xf numFmtId="0" fontId="18" fillId="27" borderId="10" xfId="0" applyFont="1" applyFill="1" applyBorder="1" applyAlignment="1">
      <alignment readingOrder="1"/>
    </xf>
  </cellXfs>
  <cellStyles count="1">
    <cellStyle name="Normal" xfId="0" builtinId="0"/>
  </cellStyles>
  <dxfs count="2">
    <dxf>
      <font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Table" displayName="InventoryTable" ref="A3:H150">
  <tableColumns count="8">
    <tableColumn id="1" xr3:uid="{00000000-0010-0000-0000-000001000000}" name="Particular"/>
    <tableColumn id="2" xr3:uid="{00000000-0010-0000-0000-000002000000}" name="Category"/>
    <tableColumn id="3" xr3:uid="{00000000-0010-0000-0000-000003000000}" name="Opening Stock"/>
    <tableColumn id="4" xr3:uid="{00000000-0010-0000-0000-000004000000}" name="Stock IN"/>
    <tableColumn id="5" xr3:uid="{00000000-0010-0000-0000-000005000000}" name="Stock OUT"/>
    <tableColumn id="6" xr3:uid="{00000000-0010-0000-0000-000006000000}" name="Current Stock"/>
    <tableColumn id="7" xr3:uid="{00000000-0010-0000-0000-000007000000}" name="Reorder Level"/>
    <tableColumn id="8" xr3:uid="{00000000-0010-0000-0000-000008000000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ockInTable" displayName="StockInTable" ref="A3:F500">
  <tableColumns count="6">
    <tableColumn id="1" xr3:uid="{00000000-0010-0000-0100-000001000000}" name="Date"/>
    <tableColumn id="2" xr3:uid="{00000000-0010-0000-0100-000002000000}" name="Invoice #"/>
    <tableColumn id="3" xr3:uid="{00000000-0010-0000-0100-000003000000}" name="Item"/>
    <tableColumn id="4" xr3:uid="{00000000-0010-0000-0100-000004000000}" name="Quantity"/>
    <tableColumn id="5" xr3:uid="{00000000-0010-0000-0100-000005000000}" name="Supplier"/>
    <tableColumn id="6" xr3:uid="{00000000-0010-0000-0100-000006000000}" name="Entered 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ockOutTable" displayName="StockOutTable" ref="A3:F500">
  <tableColumns count="6">
    <tableColumn id="1" xr3:uid="{00000000-0010-0000-0200-000001000000}" name="Date"/>
    <tableColumn id="2" xr3:uid="{00000000-0010-0000-0200-000002000000}" name="Reference #"/>
    <tableColumn id="3" xr3:uid="{00000000-0010-0000-0200-000003000000}" name="Item"/>
    <tableColumn id="4" xr3:uid="{00000000-0010-0000-0200-000004000000}" name="Quantity"/>
    <tableColumn id="5" xr3:uid="{00000000-0010-0000-0200-000005000000}" name="Reason"/>
    <tableColumn id="6" xr3:uid="{00000000-0010-0000-0200-000006000000}" name="Entered 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"/>
  <sheetViews>
    <sheetView tabSelected="1" topLeftCell="A74" workbookViewId="0">
      <selection activeCell="E115" sqref="E115"/>
    </sheetView>
  </sheetViews>
  <sheetFormatPr defaultRowHeight="14.25"/>
  <cols>
    <col min="1" max="1" width="28.375" bestFit="1" customWidth="1"/>
    <col min="2" max="3" width="14" customWidth="1"/>
    <col min="4" max="5" width="12" customWidth="1"/>
    <col min="6" max="8" width="14" customWidth="1"/>
  </cols>
  <sheetData>
    <row r="1" spans="1:8" ht="30" customHeight="1">
      <c r="A1" s="55" t="s">
        <v>0</v>
      </c>
      <c r="B1" s="55"/>
      <c r="C1" s="55"/>
      <c r="D1" s="55"/>
      <c r="E1" s="55"/>
      <c r="F1" s="55"/>
      <c r="G1" s="55"/>
      <c r="H1" s="55"/>
    </row>
    <row r="3" spans="1:8" ht="26.1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s="6" t="s">
        <v>9</v>
      </c>
      <c r="B4" s="6" t="s">
        <v>10</v>
      </c>
      <c r="C4" s="7">
        <v>16</v>
      </c>
      <c r="D4" s="8">
        <v>0</v>
      </c>
      <c r="E4" s="8">
        <v>0</v>
      </c>
      <c r="F4" s="8">
        <f t="shared" ref="F4:F17" si="0">C4+D4-E4</f>
        <v>16</v>
      </c>
      <c r="G4" s="7"/>
      <c r="H4" s="6" t="str">
        <f t="shared" ref="H4:H17" si="1">IF(F4&lt;=G4,"REORDER","OK")</f>
        <v>OK</v>
      </c>
    </row>
    <row r="5" spans="1:8">
      <c r="A5" s="6" t="s">
        <v>11</v>
      </c>
      <c r="B5" t="s">
        <v>10</v>
      </c>
      <c r="C5" s="3">
        <v>8</v>
      </c>
      <c r="D5" s="4">
        <f>SUMIF('Stock In'!$C:$C,A5,'Stock In'!$D:$D)</f>
        <v>0</v>
      </c>
      <c r="E5" s="4">
        <v>0</v>
      </c>
      <c r="F5" s="4">
        <f t="shared" si="0"/>
        <v>8</v>
      </c>
      <c r="G5" s="3"/>
      <c r="H5" s="6" t="str">
        <f t="shared" si="1"/>
        <v>OK</v>
      </c>
    </row>
    <row r="6" spans="1:8">
      <c r="A6" s="6" t="s">
        <v>12</v>
      </c>
      <c r="B6" t="s">
        <v>10</v>
      </c>
      <c r="C6" s="3">
        <v>6</v>
      </c>
      <c r="D6" s="4">
        <f>SUMIF('Stock In'!$C:$C,A6,'Stock In'!$D:$D)</f>
        <v>0</v>
      </c>
      <c r="E6" s="4">
        <v>0</v>
      </c>
      <c r="F6" s="4">
        <f t="shared" si="0"/>
        <v>6</v>
      </c>
      <c r="G6" s="3"/>
      <c r="H6" s="6" t="str">
        <f t="shared" si="1"/>
        <v>OK</v>
      </c>
    </row>
    <row r="7" spans="1:8">
      <c r="A7" s="6" t="s">
        <v>13</v>
      </c>
      <c r="B7" t="s">
        <v>10</v>
      </c>
      <c r="C7" s="3">
        <v>4</v>
      </c>
      <c r="D7" s="4">
        <f>SUMIF('Stock In'!$C:$C,A7,'Stock In'!$D:$D)</f>
        <v>0</v>
      </c>
      <c r="E7" s="4">
        <v>0</v>
      </c>
      <c r="F7" s="4">
        <f t="shared" si="0"/>
        <v>4</v>
      </c>
      <c r="G7" s="3"/>
      <c r="H7" s="6" t="str">
        <f t="shared" si="1"/>
        <v>OK</v>
      </c>
    </row>
    <row r="8" spans="1:8">
      <c r="A8" s="6" t="s">
        <v>14</v>
      </c>
      <c r="B8" t="s">
        <v>10</v>
      </c>
      <c r="C8" s="3">
        <v>3</v>
      </c>
      <c r="D8" s="4">
        <f>SUMIF('Stock In'!$C:$C,A8,'Stock In'!$D:$D)</f>
        <v>0</v>
      </c>
      <c r="E8" s="4">
        <v>0</v>
      </c>
      <c r="F8" s="4">
        <f t="shared" si="0"/>
        <v>3</v>
      </c>
      <c r="G8" s="3"/>
      <c r="H8" s="6" t="str">
        <f t="shared" si="1"/>
        <v>OK</v>
      </c>
    </row>
    <row r="9" spans="1:8">
      <c r="A9" s="6" t="s">
        <v>15</v>
      </c>
      <c r="B9" t="s">
        <v>10</v>
      </c>
      <c r="C9" s="3">
        <v>12</v>
      </c>
      <c r="D9" s="4">
        <f>SUMIF('Stock In'!$C:$C,A9,'Stock In'!$D:$D)</f>
        <v>0</v>
      </c>
      <c r="E9" s="4">
        <v>0</v>
      </c>
      <c r="F9" s="4">
        <f t="shared" si="0"/>
        <v>12</v>
      </c>
      <c r="G9" s="3"/>
      <c r="H9" s="6" t="str">
        <f t="shared" si="1"/>
        <v>OK</v>
      </c>
    </row>
    <row r="10" spans="1:8">
      <c r="A10" s="6" t="s">
        <v>16</v>
      </c>
      <c r="B10" t="s">
        <v>10</v>
      </c>
      <c r="C10" s="3">
        <v>7</v>
      </c>
      <c r="D10" s="4">
        <f>SUMIF('Stock In'!$C:$C,A10,'Stock In'!$D:$D)</f>
        <v>0</v>
      </c>
      <c r="E10" s="4">
        <v>1</v>
      </c>
      <c r="F10" s="4">
        <f t="shared" si="0"/>
        <v>6</v>
      </c>
      <c r="G10" s="3"/>
      <c r="H10" s="6" t="str">
        <f t="shared" si="1"/>
        <v>OK</v>
      </c>
    </row>
    <row r="11" spans="1:8">
      <c r="A11" s="6" t="s">
        <v>17</v>
      </c>
      <c r="B11" t="s">
        <v>10</v>
      </c>
      <c r="C11" s="3">
        <v>5</v>
      </c>
      <c r="D11" s="4">
        <f>SUMIF('Stock In'!$C:$C,A11,'Stock In'!$D:$D)</f>
        <v>0</v>
      </c>
      <c r="E11" s="4">
        <v>0</v>
      </c>
      <c r="F11" s="4">
        <f t="shared" si="0"/>
        <v>5</v>
      </c>
      <c r="G11" s="3"/>
      <c r="H11" s="6" t="str">
        <f t="shared" si="1"/>
        <v>OK</v>
      </c>
    </row>
    <row r="12" spans="1:8">
      <c r="A12" s="6" t="s">
        <v>18</v>
      </c>
      <c r="B12" t="s">
        <v>10</v>
      </c>
      <c r="C12" s="3">
        <v>3</v>
      </c>
      <c r="D12" s="4">
        <f>SUMIF('Stock In'!$C:$C,A12,'Stock In'!$D:$D)</f>
        <v>0</v>
      </c>
      <c r="E12" s="4">
        <v>0</v>
      </c>
      <c r="F12" s="4">
        <f t="shared" si="0"/>
        <v>3</v>
      </c>
      <c r="G12" s="3"/>
      <c r="H12" s="6" t="str">
        <f t="shared" si="1"/>
        <v>OK</v>
      </c>
    </row>
    <row r="13" spans="1:8">
      <c r="A13" s="6" t="s">
        <v>19</v>
      </c>
      <c r="B13" t="s">
        <v>10</v>
      </c>
      <c r="C13" s="3">
        <v>8</v>
      </c>
      <c r="D13" s="4">
        <f>SUMIF('Stock In'!$C:$C,A13,'Stock In'!$D:$D)</f>
        <v>0</v>
      </c>
      <c r="E13" s="4">
        <v>0</v>
      </c>
      <c r="F13" s="4">
        <f t="shared" si="0"/>
        <v>8</v>
      </c>
      <c r="G13" s="3"/>
      <c r="H13" s="6" t="str">
        <f t="shared" si="1"/>
        <v>OK</v>
      </c>
    </row>
    <row r="14" spans="1:8">
      <c r="A14" s="6" t="s">
        <v>20</v>
      </c>
      <c r="B14" t="s">
        <v>10</v>
      </c>
      <c r="C14" s="3">
        <v>7</v>
      </c>
      <c r="D14" s="4">
        <f>SUMIF('Stock In'!$C:$C,A14,'Stock In'!$D:$D)</f>
        <v>0</v>
      </c>
      <c r="E14" s="4">
        <v>0</v>
      </c>
      <c r="F14" s="4">
        <f t="shared" si="0"/>
        <v>7</v>
      </c>
      <c r="G14" s="3"/>
      <c r="H14" s="6" t="str">
        <f t="shared" si="1"/>
        <v>OK</v>
      </c>
    </row>
    <row r="15" spans="1:8">
      <c r="A15" s="6" t="s">
        <v>21</v>
      </c>
      <c r="B15" t="s">
        <v>10</v>
      </c>
      <c r="C15" s="3">
        <v>5</v>
      </c>
      <c r="D15" s="4">
        <f>SUMIF('Stock In'!$C:$C,A15,'Stock In'!$D:$D)</f>
        <v>0</v>
      </c>
      <c r="E15" s="4">
        <v>0</v>
      </c>
      <c r="F15" s="4">
        <f t="shared" si="0"/>
        <v>5</v>
      </c>
      <c r="G15" s="3"/>
      <c r="H15" s="6" t="str">
        <f t="shared" si="1"/>
        <v>OK</v>
      </c>
    </row>
    <row r="16" spans="1:8">
      <c r="A16" s="6" t="s">
        <v>22</v>
      </c>
      <c r="B16" t="s">
        <v>10</v>
      </c>
      <c r="C16" s="3">
        <v>7</v>
      </c>
      <c r="D16" s="4">
        <f>SUMIF('Stock In'!$C:$C,A16,'Stock In'!$D:$D)</f>
        <v>0</v>
      </c>
      <c r="E16" s="4">
        <v>0</v>
      </c>
      <c r="F16" s="4">
        <f t="shared" si="0"/>
        <v>7</v>
      </c>
      <c r="G16" s="3"/>
      <c r="H16" s="6" t="str">
        <f t="shared" si="1"/>
        <v>OK</v>
      </c>
    </row>
    <row r="17" spans="1:14">
      <c r="A17" s="6" t="s">
        <v>23</v>
      </c>
      <c r="B17" t="s">
        <v>10</v>
      </c>
      <c r="C17" s="3">
        <v>6</v>
      </c>
      <c r="D17" s="4">
        <f>SUMIF('Stock In'!$C:$C,A17,'Stock In'!$D:$D)</f>
        <v>0</v>
      </c>
      <c r="E17" s="4">
        <v>0</v>
      </c>
      <c r="F17" s="4">
        <f t="shared" si="0"/>
        <v>6</v>
      </c>
      <c r="G17" s="3"/>
      <c r="H17" s="6" t="str">
        <f t="shared" si="1"/>
        <v>OK</v>
      </c>
    </row>
    <row r="18" spans="1:14">
      <c r="A18" s="6" t="s">
        <v>24</v>
      </c>
      <c r="B18" t="s">
        <v>10</v>
      </c>
      <c r="C18" s="3">
        <v>1</v>
      </c>
      <c r="D18" s="4">
        <f>SUMIF('Stock In'!$C:$C,A18,'Stock In'!$D:$D)</f>
        <v>0</v>
      </c>
      <c r="E18" s="4">
        <v>0</v>
      </c>
      <c r="F18" s="4">
        <f t="shared" ref="F18:F23" si="2">IF(A18="","",C18+D18-E18)</f>
        <v>1</v>
      </c>
      <c r="G18" s="3"/>
      <c r="H18" s="6" t="str">
        <f t="shared" ref="H18:H24" si="3">IF(A18="","",IF(F18&lt;=G18,"REORDER","OK"))</f>
        <v>OK</v>
      </c>
    </row>
    <row r="19" spans="1:14">
      <c r="A19" s="6" t="s">
        <v>25</v>
      </c>
      <c r="B19" t="s">
        <v>10</v>
      </c>
      <c r="C19" s="3">
        <v>1</v>
      </c>
      <c r="D19" s="4">
        <f>SUMIF('Stock In'!$C:$C,A19,'Stock In'!$D:$D)</f>
        <v>0</v>
      </c>
      <c r="E19" s="4">
        <v>0</v>
      </c>
      <c r="F19" s="4">
        <v>0</v>
      </c>
      <c r="G19" s="3"/>
      <c r="H19" s="6" t="str">
        <f t="shared" si="3"/>
        <v>REORDER</v>
      </c>
    </row>
    <row r="20" spans="1:14">
      <c r="A20" s="6" t="s">
        <v>26</v>
      </c>
      <c r="B20" t="s">
        <v>10</v>
      </c>
      <c r="C20" s="3">
        <v>1</v>
      </c>
      <c r="D20" s="4">
        <f>SUMIF('Stock In'!$C:$C,A20,'Stock In'!$D:$D)</f>
        <v>0</v>
      </c>
      <c r="E20" s="4">
        <v>0</v>
      </c>
      <c r="F20" s="4">
        <f t="shared" si="2"/>
        <v>1</v>
      </c>
      <c r="G20" s="3"/>
      <c r="H20" s="6" t="str">
        <f t="shared" si="3"/>
        <v>OK</v>
      </c>
    </row>
    <row r="21" spans="1:14">
      <c r="A21" s="6" t="s">
        <v>27</v>
      </c>
      <c r="B21" t="s">
        <v>10</v>
      </c>
      <c r="C21" s="3">
        <v>2</v>
      </c>
      <c r="D21" s="4">
        <f>SUMIF('Stock In'!$C:$C,A21,'Stock In'!$D:$D)</f>
        <v>0</v>
      </c>
      <c r="E21" s="4">
        <v>0</v>
      </c>
      <c r="F21" s="4">
        <f t="shared" si="2"/>
        <v>2</v>
      </c>
      <c r="G21" s="3"/>
      <c r="H21" s="6" t="str">
        <f t="shared" si="3"/>
        <v>OK</v>
      </c>
    </row>
    <row r="22" spans="1:14">
      <c r="A22" s="6" t="s">
        <v>28</v>
      </c>
      <c r="B22" t="s">
        <v>10</v>
      </c>
      <c r="C22" s="3">
        <v>5</v>
      </c>
      <c r="D22" s="4">
        <f>SUMIF('Stock In'!$C:$C,A22,'Stock In'!$D:$D)</f>
        <v>0</v>
      </c>
      <c r="E22" s="4">
        <v>0</v>
      </c>
      <c r="F22" s="4">
        <f t="shared" si="2"/>
        <v>5</v>
      </c>
      <c r="G22" s="3"/>
      <c r="H22" s="6" t="str">
        <f t="shared" si="3"/>
        <v>OK</v>
      </c>
    </row>
    <row r="23" spans="1:14">
      <c r="A23" s="6" t="s">
        <v>29</v>
      </c>
      <c r="B23" t="s">
        <v>10</v>
      </c>
      <c r="C23" s="3">
        <v>1</v>
      </c>
      <c r="D23" s="4">
        <f>SUMIF('Stock In'!$C:$C,A23,'Stock In'!$D:$D)</f>
        <v>0</v>
      </c>
      <c r="E23" s="4">
        <v>0</v>
      </c>
      <c r="F23" s="4">
        <f t="shared" si="2"/>
        <v>1</v>
      </c>
      <c r="G23" s="3"/>
      <c r="H23" s="6" t="str">
        <f t="shared" si="3"/>
        <v>OK</v>
      </c>
    </row>
    <row r="24" spans="1:14">
      <c r="A24" s="6" t="s">
        <v>30</v>
      </c>
      <c r="B24" t="s">
        <v>31</v>
      </c>
      <c r="C24" s="3">
        <v>3</v>
      </c>
      <c r="D24" s="4">
        <f>SUMIF('Stock In'!$C:$C,A24,'Stock In'!$D:$D)</f>
        <v>0</v>
      </c>
      <c r="E24" s="4">
        <v>0</v>
      </c>
      <c r="F24" s="4">
        <f t="shared" ref="F24:F30" si="4">IF(A24="","",C24+D24-E24)</f>
        <v>3</v>
      </c>
      <c r="G24" s="3"/>
      <c r="H24" s="6" t="str">
        <f t="shared" si="3"/>
        <v>OK</v>
      </c>
    </row>
    <row r="25" spans="1:14">
      <c r="A25" s="6" t="s">
        <v>32</v>
      </c>
      <c r="B25" t="s">
        <v>31</v>
      </c>
      <c r="C25" s="3">
        <v>5</v>
      </c>
      <c r="D25" s="4">
        <f>SUMIF('Stock In'!$C:$C,A25,'Stock In'!$D:$D)</f>
        <v>0</v>
      </c>
      <c r="E25" s="4">
        <f>IF(A25="","",SUMIF('Stock Out'!$C:$C,A25,'Stock Out'!$D:$D))</f>
        <v>0</v>
      </c>
      <c r="F25" s="4">
        <f t="shared" si="4"/>
        <v>5</v>
      </c>
      <c r="G25" s="3"/>
      <c r="H25" s="6" t="str">
        <f t="shared" ref="H25:H49" si="5">IF(A25="","",IF(F25&lt;=G25,"REORDER","OK"))</f>
        <v>OK</v>
      </c>
      <c r="N25" t="s">
        <v>33</v>
      </c>
    </row>
    <row r="26" spans="1:14">
      <c r="A26" s="6" t="s">
        <v>34</v>
      </c>
      <c r="B26" t="s">
        <v>31</v>
      </c>
      <c r="C26" s="3">
        <v>7</v>
      </c>
      <c r="D26" s="4">
        <f>SUMIF('Stock In'!$C:$C,A26,'Stock In'!$D:$D)</f>
        <v>0</v>
      </c>
      <c r="E26" s="4">
        <v>0</v>
      </c>
      <c r="F26" s="4">
        <f t="shared" si="4"/>
        <v>7</v>
      </c>
      <c r="G26" s="3"/>
      <c r="H26" s="6" t="str">
        <f t="shared" si="5"/>
        <v>OK</v>
      </c>
    </row>
    <row r="27" spans="1:14">
      <c r="A27" s="6" t="s">
        <v>35</v>
      </c>
      <c r="B27" t="s">
        <v>31</v>
      </c>
      <c r="C27" s="3">
        <v>2</v>
      </c>
      <c r="D27" s="4">
        <f>SUMIF('Stock In'!$C:$C,A27,'Stock In'!$D:$D)</f>
        <v>0</v>
      </c>
      <c r="E27" s="4">
        <v>0</v>
      </c>
      <c r="F27" s="4">
        <f t="shared" si="4"/>
        <v>2</v>
      </c>
      <c r="G27" s="3"/>
      <c r="H27" s="6" t="str">
        <f t="shared" si="5"/>
        <v>OK</v>
      </c>
    </row>
    <row r="28" spans="1:14">
      <c r="A28" s="6" t="s">
        <v>36</v>
      </c>
      <c r="B28" t="s">
        <v>31</v>
      </c>
      <c r="C28" s="3">
        <v>8</v>
      </c>
      <c r="D28" s="4">
        <v>0</v>
      </c>
      <c r="E28" s="4">
        <v>0</v>
      </c>
      <c r="F28" s="4">
        <f t="shared" si="4"/>
        <v>8</v>
      </c>
      <c r="G28" s="3"/>
      <c r="H28" s="6" t="str">
        <f t="shared" si="5"/>
        <v>OK</v>
      </c>
    </row>
    <row r="29" spans="1:14">
      <c r="A29" s="6" t="s">
        <v>37</v>
      </c>
      <c r="B29" t="s">
        <v>31</v>
      </c>
      <c r="C29" s="3">
        <v>15</v>
      </c>
      <c r="D29" s="4">
        <v>0</v>
      </c>
      <c r="E29" s="4">
        <v>0</v>
      </c>
      <c r="F29" s="4">
        <f t="shared" si="4"/>
        <v>15</v>
      </c>
      <c r="G29" s="3"/>
      <c r="H29" s="6" t="str">
        <f t="shared" si="5"/>
        <v>OK</v>
      </c>
    </row>
    <row r="30" spans="1:14">
      <c r="A30" s="6" t="s">
        <v>38</v>
      </c>
      <c r="B30" t="s">
        <v>31</v>
      </c>
      <c r="C30" s="3">
        <v>6</v>
      </c>
      <c r="D30" s="4">
        <v>0</v>
      </c>
      <c r="E30" s="4">
        <v>0</v>
      </c>
      <c r="F30" s="4">
        <f t="shared" si="4"/>
        <v>6</v>
      </c>
      <c r="G30" s="3"/>
      <c r="H30" s="6" t="str">
        <f t="shared" si="5"/>
        <v>OK</v>
      </c>
    </row>
    <row r="31" spans="1:14">
      <c r="A31" s="6" t="s">
        <v>39</v>
      </c>
      <c r="B31" t="s">
        <v>40</v>
      </c>
      <c r="C31" s="3">
        <v>9</v>
      </c>
      <c r="D31" s="4">
        <v>0</v>
      </c>
      <c r="E31" s="4">
        <v>0</v>
      </c>
      <c r="F31" s="4">
        <f t="shared" ref="F31:F49" si="6">IF(A31="","",C31+D31-E31)</f>
        <v>9</v>
      </c>
      <c r="G31" s="3"/>
      <c r="H31" s="6" t="str">
        <f t="shared" si="5"/>
        <v>OK</v>
      </c>
    </row>
    <row r="32" spans="1:14">
      <c r="A32" s="6" t="s">
        <v>41</v>
      </c>
      <c r="B32" t="s">
        <v>40</v>
      </c>
      <c r="C32" s="3">
        <v>8</v>
      </c>
      <c r="D32" s="4">
        <v>0</v>
      </c>
      <c r="E32" s="4">
        <v>0</v>
      </c>
      <c r="F32" s="4">
        <f t="shared" si="6"/>
        <v>8</v>
      </c>
      <c r="G32" s="3"/>
      <c r="H32" s="6" t="str">
        <f t="shared" si="5"/>
        <v>OK</v>
      </c>
    </row>
    <row r="33" spans="1:8">
      <c r="A33" s="6" t="s">
        <v>42</v>
      </c>
      <c r="B33" t="s">
        <v>40</v>
      </c>
      <c r="C33" s="3">
        <v>2</v>
      </c>
      <c r="D33" s="4">
        <v>0</v>
      </c>
      <c r="E33" s="4">
        <v>0</v>
      </c>
      <c r="F33" s="4">
        <f t="shared" si="6"/>
        <v>2</v>
      </c>
      <c r="G33" s="3"/>
      <c r="H33" s="6" t="str">
        <f t="shared" si="5"/>
        <v>OK</v>
      </c>
    </row>
    <row r="34" spans="1:8">
      <c r="A34" s="6" t="s">
        <v>43</v>
      </c>
      <c r="B34" t="s">
        <v>40</v>
      </c>
      <c r="C34" s="3">
        <v>1</v>
      </c>
      <c r="D34" s="4">
        <v>0</v>
      </c>
      <c r="E34" s="4">
        <v>0</v>
      </c>
      <c r="F34" s="4">
        <f t="shared" si="6"/>
        <v>1</v>
      </c>
      <c r="G34" s="3"/>
      <c r="H34" s="6" t="str">
        <f t="shared" si="5"/>
        <v>OK</v>
      </c>
    </row>
    <row r="35" spans="1:8">
      <c r="A35" s="6" t="s">
        <v>44</v>
      </c>
      <c r="B35" t="s">
        <v>40</v>
      </c>
      <c r="C35" s="3">
        <v>1</v>
      </c>
      <c r="D35" s="4">
        <v>0</v>
      </c>
      <c r="E35" s="4">
        <v>0</v>
      </c>
      <c r="F35" s="4">
        <v>3</v>
      </c>
      <c r="G35" s="3"/>
      <c r="H35" s="6" t="str">
        <f t="shared" si="5"/>
        <v>OK</v>
      </c>
    </row>
    <row r="36" spans="1:8">
      <c r="A36" s="6" t="s">
        <v>45</v>
      </c>
      <c r="B36" t="s">
        <v>40</v>
      </c>
      <c r="C36" s="3">
        <v>6</v>
      </c>
      <c r="D36" s="4">
        <v>0</v>
      </c>
      <c r="E36" s="4">
        <v>0</v>
      </c>
      <c r="F36" s="4">
        <f t="shared" si="6"/>
        <v>6</v>
      </c>
      <c r="G36" s="3"/>
      <c r="H36" s="6" t="str">
        <f t="shared" si="5"/>
        <v>OK</v>
      </c>
    </row>
    <row r="37" spans="1:8">
      <c r="A37" s="6" t="s">
        <v>46</v>
      </c>
      <c r="B37" t="s">
        <v>40</v>
      </c>
      <c r="C37" s="3">
        <v>2</v>
      </c>
      <c r="D37" s="4">
        <v>0</v>
      </c>
      <c r="E37" s="4">
        <v>0</v>
      </c>
      <c r="F37" s="4">
        <f t="shared" si="6"/>
        <v>2</v>
      </c>
      <c r="G37" s="3"/>
      <c r="H37" s="6" t="str">
        <f t="shared" si="5"/>
        <v>OK</v>
      </c>
    </row>
    <row r="38" spans="1:8">
      <c r="A38" s="6" t="s">
        <v>47</v>
      </c>
      <c r="B38" t="s">
        <v>40</v>
      </c>
      <c r="C38" s="3">
        <v>5</v>
      </c>
      <c r="D38" s="4">
        <v>0</v>
      </c>
      <c r="E38" s="4">
        <v>1</v>
      </c>
      <c r="F38" s="4">
        <f t="shared" si="6"/>
        <v>4</v>
      </c>
      <c r="G38" s="3"/>
      <c r="H38" s="6" t="str">
        <f t="shared" si="5"/>
        <v>OK</v>
      </c>
    </row>
    <row r="39" spans="1:8">
      <c r="A39" s="6" t="s">
        <v>48</v>
      </c>
      <c r="B39" t="s">
        <v>40</v>
      </c>
      <c r="C39" s="3">
        <v>7</v>
      </c>
      <c r="D39" s="4">
        <v>0</v>
      </c>
      <c r="E39" s="4">
        <v>0</v>
      </c>
      <c r="F39" s="4">
        <f t="shared" si="6"/>
        <v>7</v>
      </c>
      <c r="G39" s="3"/>
      <c r="H39" s="6" t="str">
        <f t="shared" si="5"/>
        <v>OK</v>
      </c>
    </row>
    <row r="40" spans="1:8">
      <c r="A40" s="6" t="s">
        <v>49</v>
      </c>
      <c r="B40" t="s">
        <v>40</v>
      </c>
      <c r="C40" s="3">
        <v>4</v>
      </c>
      <c r="D40" s="4">
        <v>0</v>
      </c>
      <c r="E40" s="4">
        <v>0</v>
      </c>
      <c r="F40" s="4">
        <f t="shared" si="6"/>
        <v>4</v>
      </c>
      <c r="G40" s="3"/>
      <c r="H40" s="6" t="str">
        <f t="shared" si="5"/>
        <v>OK</v>
      </c>
    </row>
    <row r="41" spans="1:8">
      <c r="A41" s="6" t="s">
        <v>50</v>
      </c>
      <c r="B41" t="s">
        <v>40</v>
      </c>
      <c r="C41" s="3">
        <v>3</v>
      </c>
      <c r="D41" s="4">
        <v>0</v>
      </c>
      <c r="E41" s="4">
        <v>0</v>
      </c>
      <c r="F41" s="4">
        <f t="shared" si="6"/>
        <v>3</v>
      </c>
      <c r="G41" s="3"/>
      <c r="H41" s="6" t="str">
        <f t="shared" si="5"/>
        <v>OK</v>
      </c>
    </row>
    <row r="42" spans="1:8">
      <c r="A42" s="6" t="s">
        <v>51</v>
      </c>
      <c r="B42" t="s">
        <v>40</v>
      </c>
      <c r="C42" s="3">
        <v>6</v>
      </c>
      <c r="D42" s="4">
        <v>0</v>
      </c>
      <c r="E42" s="4">
        <v>0</v>
      </c>
      <c r="F42" s="4">
        <f t="shared" si="6"/>
        <v>6</v>
      </c>
      <c r="G42" s="3"/>
      <c r="H42" s="6" t="str">
        <f t="shared" si="5"/>
        <v>OK</v>
      </c>
    </row>
    <row r="43" spans="1:8">
      <c r="A43" s="6" t="s">
        <v>52</v>
      </c>
      <c r="B43" t="s">
        <v>40</v>
      </c>
      <c r="C43" s="3">
        <v>11</v>
      </c>
      <c r="D43" s="4">
        <v>0</v>
      </c>
      <c r="E43" s="4">
        <v>0</v>
      </c>
      <c r="F43" s="4">
        <f t="shared" si="6"/>
        <v>11</v>
      </c>
      <c r="G43" s="3"/>
      <c r="H43" s="6" t="str">
        <f t="shared" si="5"/>
        <v>OK</v>
      </c>
    </row>
    <row r="44" spans="1:8">
      <c r="A44" s="6" t="s">
        <v>53</v>
      </c>
      <c r="B44" t="s">
        <v>54</v>
      </c>
      <c r="C44" s="3">
        <v>6</v>
      </c>
      <c r="D44" s="4">
        <v>0</v>
      </c>
      <c r="E44" s="4">
        <v>0</v>
      </c>
      <c r="F44" s="4">
        <f t="shared" si="6"/>
        <v>6</v>
      </c>
      <c r="G44" s="3"/>
      <c r="H44" s="6" t="str">
        <f t="shared" si="5"/>
        <v>OK</v>
      </c>
    </row>
    <row r="45" spans="1:8">
      <c r="A45" s="6" t="s">
        <v>55</v>
      </c>
      <c r="B45" t="s">
        <v>54</v>
      </c>
      <c r="C45" s="3">
        <v>4</v>
      </c>
      <c r="D45" s="4">
        <v>0</v>
      </c>
      <c r="E45" s="4">
        <v>0</v>
      </c>
      <c r="F45" s="4">
        <f t="shared" si="6"/>
        <v>4</v>
      </c>
      <c r="G45" s="3"/>
      <c r="H45" s="6" t="str">
        <f t="shared" si="5"/>
        <v>OK</v>
      </c>
    </row>
    <row r="46" spans="1:8">
      <c r="A46" s="6" t="s">
        <v>56</v>
      </c>
      <c r="B46" t="s">
        <v>54</v>
      </c>
      <c r="C46" s="3">
        <v>2</v>
      </c>
      <c r="D46" s="4">
        <v>0</v>
      </c>
      <c r="E46" s="4">
        <v>0</v>
      </c>
      <c r="F46" s="4">
        <f t="shared" si="6"/>
        <v>2</v>
      </c>
      <c r="G46" s="3"/>
      <c r="H46" s="6" t="str">
        <f t="shared" si="5"/>
        <v>OK</v>
      </c>
    </row>
    <row r="47" spans="1:8">
      <c r="A47" s="6" t="s">
        <v>57</v>
      </c>
      <c r="B47" t="s">
        <v>54</v>
      </c>
      <c r="C47" s="3">
        <v>1</v>
      </c>
      <c r="D47" s="4">
        <v>0</v>
      </c>
      <c r="E47" s="4">
        <v>0</v>
      </c>
      <c r="F47" s="4">
        <f t="shared" si="6"/>
        <v>1</v>
      </c>
      <c r="G47" s="3"/>
      <c r="H47" s="6" t="str">
        <f t="shared" si="5"/>
        <v>OK</v>
      </c>
    </row>
    <row r="48" spans="1:8">
      <c r="A48" s="6" t="s">
        <v>58</v>
      </c>
      <c r="B48" t="s">
        <v>59</v>
      </c>
      <c r="C48" s="3">
        <v>2</v>
      </c>
      <c r="D48" s="4">
        <v>0</v>
      </c>
      <c r="E48" s="4">
        <v>0</v>
      </c>
      <c r="F48" s="4">
        <f t="shared" si="6"/>
        <v>2</v>
      </c>
      <c r="G48" s="3"/>
      <c r="H48" s="6" t="str">
        <f t="shared" si="5"/>
        <v>OK</v>
      </c>
    </row>
    <row r="49" spans="1:17">
      <c r="A49" s="6" t="s">
        <v>60</v>
      </c>
      <c r="B49" t="s">
        <v>59</v>
      </c>
      <c r="C49" s="3">
        <v>1</v>
      </c>
      <c r="D49" s="4">
        <v>0</v>
      </c>
      <c r="E49" s="4">
        <v>0</v>
      </c>
      <c r="F49" s="4">
        <f t="shared" si="6"/>
        <v>1</v>
      </c>
      <c r="G49" s="3"/>
      <c r="H49" s="6" t="str">
        <f t="shared" si="5"/>
        <v>OK</v>
      </c>
    </row>
    <row r="50" spans="1:17">
      <c r="A50" s="6" t="s">
        <v>61</v>
      </c>
      <c r="B50" t="s">
        <v>59</v>
      </c>
      <c r="C50" s="3">
        <v>2</v>
      </c>
      <c r="D50" s="4">
        <v>0</v>
      </c>
      <c r="E50" s="4">
        <v>0</v>
      </c>
      <c r="F50" s="4">
        <f t="shared" ref="F50:F81" si="7">IF(A50="","",C50+D50-E50)</f>
        <v>2</v>
      </c>
      <c r="G50" s="3"/>
      <c r="H50" s="6" t="str">
        <f t="shared" ref="H50:H81" si="8">IF(A50="","",IF(F50&lt;=G50,"REORDER","OK"))</f>
        <v>OK</v>
      </c>
    </row>
    <row r="51" spans="1:17">
      <c r="A51" s="6" t="s">
        <v>62</v>
      </c>
      <c r="B51" t="s">
        <v>59</v>
      </c>
      <c r="C51" s="3">
        <v>3</v>
      </c>
      <c r="D51" s="4">
        <v>0</v>
      </c>
      <c r="E51" s="4">
        <v>0</v>
      </c>
      <c r="F51" s="4">
        <f t="shared" si="7"/>
        <v>3</v>
      </c>
      <c r="G51" s="3"/>
      <c r="H51" s="6" t="str">
        <f t="shared" si="8"/>
        <v>OK</v>
      </c>
    </row>
    <row r="52" spans="1:17">
      <c r="A52" s="6" t="s">
        <v>63</v>
      </c>
      <c r="B52" t="s">
        <v>59</v>
      </c>
      <c r="C52" s="3"/>
      <c r="D52" s="4">
        <v>0</v>
      </c>
      <c r="E52" s="4">
        <v>0</v>
      </c>
      <c r="F52" s="4">
        <f t="shared" si="7"/>
        <v>0</v>
      </c>
      <c r="G52" s="3"/>
      <c r="H52" s="6" t="str">
        <f t="shared" si="8"/>
        <v>REORDER</v>
      </c>
    </row>
    <row r="53" spans="1:17">
      <c r="A53" s="6" t="s">
        <v>64</v>
      </c>
      <c r="B53" t="s">
        <v>59</v>
      </c>
      <c r="C53" s="3">
        <v>12</v>
      </c>
      <c r="D53" s="4">
        <v>0</v>
      </c>
      <c r="E53" s="4">
        <v>0</v>
      </c>
      <c r="F53" s="4">
        <f t="shared" si="7"/>
        <v>12</v>
      </c>
      <c r="G53" s="3"/>
      <c r="H53" s="6" t="str">
        <f t="shared" si="8"/>
        <v>OK</v>
      </c>
    </row>
    <row r="54" spans="1:17">
      <c r="A54" s="6" t="s">
        <v>65</v>
      </c>
      <c r="B54" t="s">
        <v>66</v>
      </c>
      <c r="C54" s="3">
        <v>3</v>
      </c>
      <c r="D54" s="4">
        <v>0</v>
      </c>
      <c r="E54" s="4">
        <v>1</v>
      </c>
      <c r="F54" s="4">
        <f t="shared" si="7"/>
        <v>2</v>
      </c>
      <c r="G54" s="3"/>
      <c r="H54" s="6" t="str">
        <f t="shared" si="8"/>
        <v>OK</v>
      </c>
    </row>
    <row r="55" spans="1:17">
      <c r="A55" s="6" t="s">
        <v>67</v>
      </c>
      <c r="B55" t="s">
        <v>66</v>
      </c>
      <c r="C55" s="3">
        <v>13</v>
      </c>
      <c r="D55" s="4">
        <v>0</v>
      </c>
      <c r="E55" s="4">
        <v>0</v>
      </c>
      <c r="F55" s="4">
        <f t="shared" si="7"/>
        <v>13</v>
      </c>
      <c r="G55" s="3"/>
      <c r="H55" s="6" t="str">
        <f t="shared" si="8"/>
        <v>OK</v>
      </c>
      <c r="Q55">
        <v>1</v>
      </c>
    </row>
    <row r="56" spans="1:17">
      <c r="A56" s="6" t="s">
        <v>68</v>
      </c>
      <c r="B56" t="s">
        <v>66</v>
      </c>
      <c r="C56" s="3">
        <v>2</v>
      </c>
      <c r="D56" s="4">
        <v>0</v>
      </c>
      <c r="E56" s="4">
        <v>0</v>
      </c>
      <c r="F56" s="4">
        <f t="shared" si="7"/>
        <v>2</v>
      </c>
      <c r="G56" s="3"/>
      <c r="H56" s="6" t="str">
        <f t="shared" si="8"/>
        <v>OK</v>
      </c>
    </row>
    <row r="57" spans="1:17">
      <c r="A57" s="6" t="s">
        <v>69</v>
      </c>
      <c r="B57" t="s">
        <v>66</v>
      </c>
      <c r="C57" s="3">
        <v>9</v>
      </c>
      <c r="D57" s="4">
        <v>0</v>
      </c>
      <c r="E57" s="4">
        <v>0</v>
      </c>
      <c r="F57" s="4">
        <f t="shared" si="7"/>
        <v>9</v>
      </c>
      <c r="G57" s="3"/>
      <c r="H57" s="6" t="str">
        <f t="shared" si="8"/>
        <v>OK</v>
      </c>
    </row>
    <row r="58" spans="1:17">
      <c r="A58" s="6" t="s">
        <v>70</v>
      </c>
      <c r="B58" t="s">
        <v>66</v>
      </c>
      <c r="C58" s="3">
        <v>5</v>
      </c>
      <c r="D58" s="4">
        <v>0</v>
      </c>
      <c r="E58" s="4">
        <v>0</v>
      </c>
      <c r="F58" s="4">
        <f t="shared" si="7"/>
        <v>5</v>
      </c>
      <c r="G58" s="3"/>
      <c r="H58" s="6" t="str">
        <f t="shared" si="8"/>
        <v>OK</v>
      </c>
    </row>
    <row r="59" spans="1:17">
      <c r="A59" s="6" t="s">
        <v>71</v>
      </c>
      <c r="B59" t="s">
        <v>66</v>
      </c>
      <c r="C59" s="3">
        <v>10</v>
      </c>
      <c r="D59" s="4">
        <v>0</v>
      </c>
      <c r="E59" s="4">
        <v>0</v>
      </c>
      <c r="F59" s="4">
        <f t="shared" si="7"/>
        <v>10</v>
      </c>
      <c r="G59" s="3"/>
      <c r="H59" s="6" t="str">
        <f t="shared" si="8"/>
        <v>OK</v>
      </c>
    </row>
    <row r="60" spans="1:17">
      <c r="A60" s="6" t="s">
        <v>72</v>
      </c>
      <c r="B60" t="s">
        <v>66</v>
      </c>
      <c r="C60" s="3">
        <v>2</v>
      </c>
      <c r="D60" s="4">
        <v>0</v>
      </c>
      <c r="E60" s="4">
        <v>0</v>
      </c>
      <c r="F60" s="4">
        <f t="shared" si="7"/>
        <v>2</v>
      </c>
      <c r="G60" s="3"/>
      <c r="H60" s="6" t="str">
        <f t="shared" si="8"/>
        <v>OK</v>
      </c>
    </row>
    <row r="61" spans="1:17">
      <c r="A61" s="6" t="s">
        <v>73</v>
      </c>
      <c r="B61" t="s">
        <v>74</v>
      </c>
      <c r="C61" s="3"/>
      <c r="D61" s="4">
        <v>0</v>
      </c>
      <c r="E61" s="4">
        <v>0</v>
      </c>
      <c r="F61" s="4">
        <f t="shared" si="7"/>
        <v>0</v>
      </c>
      <c r="G61" s="3"/>
      <c r="H61" s="6" t="str">
        <f t="shared" si="8"/>
        <v>REORDER</v>
      </c>
    </row>
    <row r="62" spans="1:17">
      <c r="A62" s="6" t="s">
        <v>75</v>
      </c>
      <c r="B62" t="s">
        <v>74</v>
      </c>
      <c r="C62" s="3">
        <v>48</v>
      </c>
      <c r="D62" s="4">
        <v>0</v>
      </c>
      <c r="E62" s="4">
        <v>0</v>
      </c>
      <c r="F62" s="4">
        <f t="shared" si="7"/>
        <v>48</v>
      </c>
      <c r="G62" s="3"/>
      <c r="H62" s="6" t="str">
        <f t="shared" si="8"/>
        <v>OK</v>
      </c>
    </row>
    <row r="63" spans="1:17">
      <c r="A63" s="6" t="s">
        <v>76</v>
      </c>
      <c r="B63" t="s">
        <v>74</v>
      </c>
      <c r="C63" s="3"/>
      <c r="D63" s="4">
        <v>0</v>
      </c>
      <c r="E63" s="4">
        <v>0</v>
      </c>
      <c r="F63" s="4">
        <f t="shared" si="7"/>
        <v>0</v>
      </c>
      <c r="G63" s="3"/>
      <c r="H63" s="6" t="str">
        <f t="shared" si="8"/>
        <v>REORDER</v>
      </c>
    </row>
    <row r="64" spans="1:17">
      <c r="A64" s="6" t="s">
        <v>77</v>
      </c>
      <c r="B64" t="s">
        <v>74</v>
      </c>
      <c r="C64" s="3">
        <v>48</v>
      </c>
      <c r="D64" s="4">
        <v>0</v>
      </c>
      <c r="E64" s="4">
        <v>0</v>
      </c>
      <c r="F64" s="4">
        <f t="shared" si="7"/>
        <v>48</v>
      </c>
      <c r="G64" s="3"/>
      <c r="H64" s="6" t="str">
        <f t="shared" si="8"/>
        <v>OK</v>
      </c>
    </row>
    <row r="65" spans="1:8">
      <c r="A65" s="6" t="s">
        <v>78</v>
      </c>
      <c r="B65" t="s">
        <v>74</v>
      </c>
      <c r="C65" s="3">
        <v>192</v>
      </c>
      <c r="D65" s="4">
        <v>0</v>
      </c>
      <c r="E65" s="4">
        <v>0</v>
      </c>
      <c r="F65" s="4">
        <f t="shared" si="7"/>
        <v>192</v>
      </c>
      <c r="G65" s="3"/>
      <c r="H65" s="6" t="str">
        <f t="shared" si="8"/>
        <v>OK</v>
      </c>
    </row>
    <row r="66" spans="1:8">
      <c r="A66" s="6" t="s">
        <v>79</v>
      </c>
      <c r="B66" t="s">
        <v>74</v>
      </c>
      <c r="C66" s="3">
        <v>96</v>
      </c>
      <c r="D66" s="4">
        <v>0</v>
      </c>
      <c r="E66" s="4">
        <v>0</v>
      </c>
      <c r="F66" s="4">
        <f t="shared" si="7"/>
        <v>96</v>
      </c>
      <c r="G66" s="3"/>
      <c r="H66" s="6" t="str">
        <f t="shared" si="8"/>
        <v>OK</v>
      </c>
    </row>
    <row r="67" spans="1:8">
      <c r="A67" s="6" t="s">
        <v>80</v>
      </c>
      <c r="B67" t="s">
        <v>74</v>
      </c>
      <c r="C67" s="3">
        <v>24</v>
      </c>
      <c r="D67" s="4">
        <v>0</v>
      </c>
      <c r="E67" s="4">
        <v>0</v>
      </c>
      <c r="F67" s="4">
        <f t="shared" si="7"/>
        <v>24</v>
      </c>
      <c r="G67" s="3"/>
      <c r="H67" s="6" t="str">
        <f t="shared" si="8"/>
        <v>OK</v>
      </c>
    </row>
    <row r="68" spans="1:8">
      <c r="A68" s="6" t="s">
        <v>81</v>
      </c>
      <c r="B68" t="s">
        <v>74</v>
      </c>
      <c r="C68" s="3"/>
      <c r="D68" s="4">
        <v>0</v>
      </c>
      <c r="E68" s="4">
        <v>0</v>
      </c>
      <c r="F68" s="4">
        <f t="shared" si="7"/>
        <v>0</v>
      </c>
      <c r="G68" s="3"/>
      <c r="H68" s="6" t="str">
        <f t="shared" si="8"/>
        <v>REORDER</v>
      </c>
    </row>
    <row r="69" spans="1:8">
      <c r="A69" s="6" t="s">
        <v>82</v>
      </c>
      <c r="B69" t="s">
        <v>74</v>
      </c>
      <c r="C69" s="3"/>
      <c r="D69" s="4">
        <v>0</v>
      </c>
      <c r="E69" s="4">
        <v>0</v>
      </c>
      <c r="F69" s="4">
        <f t="shared" si="7"/>
        <v>0</v>
      </c>
      <c r="G69" s="3"/>
      <c r="H69" s="6" t="str">
        <f t="shared" si="8"/>
        <v>REORDER</v>
      </c>
    </row>
    <row r="70" spans="1:8">
      <c r="A70" s="6" t="s">
        <v>83</v>
      </c>
      <c r="B70" t="s">
        <v>74</v>
      </c>
      <c r="C70" s="3">
        <v>96</v>
      </c>
      <c r="D70" s="4">
        <v>0</v>
      </c>
      <c r="E70" s="4">
        <v>72</v>
      </c>
      <c r="F70" s="4">
        <f t="shared" si="7"/>
        <v>24</v>
      </c>
      <c r="G70" s="3"/>
      <c r="H70" s="6" t="str">
        <f t="shared" si="8"/>
        <v>OK</v>
      </c>
    </row>
    <row r="71" spans="1:8">
      <c r="A71" s="6" t="s">
        <v>84</v>
      </c>
      <c r="B71" t="s">
        <v>74</v>
      </c>
      <c r="C71" s="3"/>
      <c r="D71" s="4">
        <v>0</v>
      </c>
      <c r="E71" s="4">
        <v>0</v>
      </c>
      <c r="F71" s="4">
        <f t="shared" si="7"/>
        <v>0</v>
      </c>
      <c r="G71" s="3"/>
      <c r="H71" s="6" t="str">
        <f t="shared" si="8"/>
        <v>REORDER</v>
      </c>
    </row>
    <row r="72" spans="1:8">
      <c r="A72" s="6" t="s">
        <v>85</v>
      </c>
      <c r="B72" t="s">
        <v>74</v>
      </c>
      <c r="C72" s="3">
        <v>24</v>
      </c>
      <c r="D72" s="4">
        <v>0</v>
      </c>
      <c r="E72" s="4">
        <v>0</v>
      </c>
      <c r="F72" s="4">
        <f t="shared" si="7"/>
        <v>24</v>
      </c>
      <c r="G72" s="3"/>
      <c r="H72" s="6" t="str">
        <f t="shared" si="8"/>
        <v>OK</v>
      </c>
    </row>
    <row r="73" spans="1:8">
      <c r="A73" s="6" t="s">
        <v>86</v>
      </c>
      <c r="B73" t="s">
        <v>74</v>
      </c>
      <c r="C73" s="3"/>
      <c r="D73" s="4">
        <v>0</v>
      </c>
      <c r="E73" s="4">
        <v>0</v>
      </c>
      <c r="F73" s="4">
        <f t="shared" si="7"/>
        <v>0</v>
      </c>
      <c r="G73" s="3"/>
      <c r="H73" s="6" t="str">
        <f t="shared" si="8"/>
        <v>REORDER</v>
      </c>
    </row>
    <row r="74" spans="1:8">
      <c r="A74" s="6" t="s">
        <v>87</v>
      </c>
      <c r="B74" t="s">
        <v>74</v>
      </c>
      <c r="C74" s="3">
        <v>96</v>
      </c>
      <c r="D74" s="4">
        <v>0</v>
      </c>
      <c r="E74" s="4">
        <v>0</v>
      </c>
      <c r="F74" s="4">
        <f t="shared" si="7"/>
        <v>96</v>
      </c>
      <c r="G74" s="3"/>
      <c r="H74" s="6" t="str">
        <f t="shared" si="8"/>
        <v>OK</v>
      </c>
    </row>
    <row r="75" spans="1:8">
      <c r="A75" s="6" t="s">
        <v>88</v>
      </c>
      <c r="B75" t="s">
        <v>74</v>
      </c>
      <c r="C75" s="3"/>
      <c r="D75" s="4">
        <v>0</v>
      </c>
      <c r="E75" s="4">
        <v>0</v>
      </c>
      <c r="F75" s="4">
        <f t="shared" si="7"/>
        <v>0</v>
      </c>
      <c r="G75" s="3"/>
      <c r="H75" s="6" t="str">
        <f t="shared" si="8"/>
        <v>REORDER</v>
      </c>
    </row>
    <row r="76" spans="1:8">
      <c r="A76" s="6" t="s">
        <v>89</v>
      </c>
      <c r="B76" t="s">
        <v>74</v>
      </c>
      <c r="C76" s="3"/>
      <c r="D76" s="4">
        <v>0</v>
      </c>
      <c r="E76" s="4">
        <v>0</v>
      </c>
      <c r="F76" s="4"/>
      <c r="G76" s="3"/>
      <c r="H76" s="6" t="str">
        <f t="shared" si="8"/>
        <v>REORDER</v>
      </c>
    </row>
    <row r="77" spans="1:8">
      <c r="A77" s="6" t="s">
        <v>90</v>
      </c>
      <c r="B77" t="s">
        <v>66</v>
      </c>
      <c r="C77" s="3">
        <v>4</v>
      </c>
      <c r="D77" s="4">
        <v>0</v>
      </c>
      <c r="E77" s="4">
        <v>0</v>
      </c>
      <c r="F77" s="4">
        <f t="shared" si="7"/>
        <v>4</v>
      </c>
      <c r="G77" s="3"/>
      <c r="H77" s="6" t="str">
        <f t="shared" si="8"/>
        <v>OK</v>
      </c>
    </row>
    <row r="78" spans="1:8">
      <c r="A78" s="6" t="s">
        <v>91</v>
      </c>
      <c r="B78" t="s">
        <v>66</v>
      </c>
      <c r="C78" s="3">
        <v>6</v>
      </c>
      <c r="D78" s="4">
        <v>0</v>
      </c>
      <c r="E78" s="4">
        <v>0</v>
      </c>
      <c r="F78" s="4">
        <f t="shared" si="7"/>
        <v>6</v>
      </c>
      <c r="G78" s="3"/>
      <c r="H78" s="6" t="str">
        <f t="shared" si="8"/>
        <v>OK</v>
      </c>
    </row>
    <row r="79" spans="1:8">
      <c r="A79" s="6" t="s">
        <v>92</v>
      </c>
      <c r="B79" t="s">
        <v>66</v>
      </c>
      <c r="C79" s="3">
        <v>3</v>
      </c>
      <c r="D79" s="4">
        <v>0</v>
      </c>
      <c r="E79" s="4">
        <v>0</v>
      </c>
      <c r="F79" s="4">
        <f t="shared" si="7"/>
        <v>3</v>
      </c>
      <c r="G79" s="3"/>
      <c r="H79" s="6" t="str">
        <f t="shared" si="8"/>
        <v>OK</v>
      </c>
    </row>
    <row r="80" spans="1:8">
      <c r="A80" s="6" t="s">
        <v>93</v>
      </c>
      <c r="B80" t="s">
        <v>66</v>
      </c>
      <c r="C80" s="3">
        <v>3</v>
      </c>
      <c r="D80" s="4">
        <v>0</v>
      </c>
      <c r="E80" s="4">
        <v>0</v>
      </c>
      <c r="F80" s="4">
        <f t="shared" si="7"/>
        <v>3</v>
      </c>
      <c r="G80" s="3"/>
      <c r="H80" s="6" t="str">
        <f t="shared" si="8"/>
        <v>OK</v>
      </c>
    </row>
    <row r="81" spans="1:8">
      <c r="A81" s="6" t="s">
        <v>94</v>
      </c>
      <c r="B81" t="s">
        <v>31</v>
      </c>
      <c r="C81" s="3">
        <v>7</v>
      </c>
      <c r="D81" s="4">
        <v>0</v>
      </c>
      <c r="E81" s="4">
        <v>0</v>
      </c>
      <c r="F81" s="4">
        <f t="shared" si="7"/>
        <v>7</v>
      </c>
      <c r="G81" s="3"/>
      <c r="H81" s="6" t="str">
        <f t="shared" si="8"/>
        <v>OK</v>
      </c>
    </row>
    <row r="82" spans="1:8">
      <c r="A82" s="6" t="s">
        <v>95</v>
      </c>
      <c r="B82" t="s">
        <v>66</v>
      </c>
      <c r="C82" s="3">
        <v>5</v>
      </c>
      <c r="D82" s="4">
        <v>0</v>
      </c>
      <c r="E82" s="4">
        <v>0</v>
      </c>
      <c r="F82" s="4">
        <f t="shared" ref="F82:F130" si="9">IF(A82="","",C82+D82-E82)</f>
        <v>5</v>
      </c>
      <c r="G82" s="3"/>
      <c r="H82" s="6" t="str">
        <f t="shared" ref="H82:H145" si="10">IF(A82="","",IF(F82&lt;=G82,"REORDER","OK"))</f>
        <v>OK</v>
      </c>
    </row>
    <row r="83" spans="1:8">
      <c r="A83" s="6" t="s">
        <v>96</v>
      </c>
      <c r="B83" t="s">
        <v>66</v>
      </c>
      <c r="C83" s="3">
        <v>2</v>
      </c>
      <c r="D83" s="4">
        <v>0</v>
      </c>
      <c r="E83" s="4">
        <v>0</v>
      </c>
      <c r="F83" s="4">
        <f t="shared" si="9"/>
        <v>2</v>
      </c>
      <c r="G83" s="3"/>
      <c r="H83" s="6" t="str">
        <f t="shared" si="10"/>
        <v>OK</v>
      </c>
    </row>
    <row r="84" spans="1:8">
      <c r="A84" s="6" t="s">
        <v>97</v>
      </c>
      <c r="B84" t="s">
        <v>66</v>
      </c>
      <c r="C84" s="3">
        <v>7</v>
      </c>
      <c r="D84" s="4">
        <v>0</v>
      </c>
      <c r="E84" s="4">
        <v>0</v>
      </c>
      <c r="F84" s="4">
        <f t="shared" si="9"/>
        <v>7</v>
      </c>
      <c r="G84" s="3"/>
      <c r="H84" s="6" t="str">
        <f t="shared" si="10"/>
        <v>OK</v>
      </c>
    </row>
    <row r="85" spans="1:8">
      <c r="A85" s="6" t="s">
        <v>98</v>
      </c>
      <c r="B85" t="s">
        <v>59</v>
      </c>
      <c r="C85" s="3">
        <v>4</v>
      </c>
      <c r="D85" s="4">
        <v>0</v>
      </c>
      <c r="E85" s="4">
        <v>0</v>
      </c>
      <c r="F85" s="4">
        <f t="shared" si="9"/>
        <v>4</v>
      </c>
      <c r="G85" s="3"/>
      <c r="H85" s="6" t="str">
        <f t="shared" si="10"/>
        <v>OK</v>
      </c>
    </row>
    <row r="86" spans="1:8">
      <c r="A86" s="6" t="s">
        <v>99</v>
      </c>
      <c r="B86" t="s">
        <v>66</v>
      </c>
      <c r="C86" s="3">
        <v>6</v>
      </c>
      <c r="D86" s="4">
        <v>0</v>
      </c>
      <c r="E86" s="4">
        <v>0</v>
      </c>
      <c r="F86" s="4">
        <f t="shared" si="9"/>
        <v>6</v>
      </c>
      <c r="G86" s="3"/>
      <c r="H86" s="6" t="str">
        <f t="shared" si="10"/>
        <v>OK</v>
      </c>
    </row>
    <row r="87" spans="1:8">
      <c r="A87" s="6" t="s">
        <v>100</v>
      </c>
      <c r="B87" t="s">
        <v>66</v>
      </c>
      <c r="C87" s="3">
        <v>8</v>
      </c>
      <c r="D87" s="4">
        <v>0</v>
      </c>
      <c r="E87" s="4">
        <v>0</v>
      </c>
      <c r="F87" s="4">
        <f t="shared" si="9"/>
        <v>8</v>
      </c>
      <c r="G87" s="3"/>
      <c r="H87" s="6" t="str">
        <f t="shared" si="10"/>
        <v>OK</v>
      </c>
    </row>
    <row r="88" spans="1:8">
      <c r="A88" s="6" t="s">
        <v>101</v>
      </c>
      <c r="B88" t="s">
        <v>66</v>
      </c>
      <c r="C88" s="3">
        <v>1</v>
      </c>
      <c r="D88" s="4">
        <v>0</v>
      </c>
      <c r="E88" s="4">
        <v>0</v>
      </c>
      <c r="F88" s="4">
        <f t="shared" si="9"/>
        <v>1</v>
      </c>
      <c r="G88" s="3"/>
      <c r="H88" s="6" t="str">
        <f t="shared" si="10"/>
        <v>OK</v>
      </c>
    </row>
    <row r="89" spans="1:8">
      <c r="A89" s="6" t="s">
        <v>102</v>
      </c>
      <c r="B89" t="s">
        <v>66</v>
      </c>
      <c r="C89" s="3">
        <v>2</v>
      </c>
      <c r="D89" s="4">
        <v>0</v>
      </c>
      <c r="E89" s="4">
        <v>0</v>
      </c>
      <c r="F89" s="4">
        <f t="shared" si="9"/>
        <v>2</v>
      </c>
      <c r="G89" s="3"/>
      <c r="H89" s="6" t="str">
        <f t="shared" si="10"/>
        <v>OK</v>
      </c>
    </row>
    <row r="90" spans="1:8">
      <c r="A90" s="6" t="s">
        <v>103</v>
      </c>
      <c r="B90" t="s">
        <v>66</v>
      </c>
      <c r="C90" s="3">
        <v>8</v>
      </c>
      <c r="D90" s="4">
        <v>0</v>
      </c>
      <c r="E90" s="4">
        <v>1</v>
      </c>
      <c r="F90" s="4">
        <f t="shared" si="9"/>
        <v>7</v>
      </c>
      <c r="G90" s="3"/>
      <c r="H90" s="6" t="str">
        <f t="shared" si="10"/>
        <v>OK</v>
      </c>
    </row>
    <row r="91" spans="1:8">
      <c r="A91" s="6" t="s">
        <v>104</v>
      </c>
      <c r="B91" t="s">
        <v>66</v>
      </c>
      <c r="C91" s="3">
        <v>2</v>
      </c>
      <c r="D91" s="4">
        <v>0</v>
      </c>
      <c r="E91" s="4">
        <v>0</v>
      </c>
      <c r="F91" s="4">
        <f t="shared" si="9"/>
        <v>2</v>
      </c>
      <c r="G91" s="3"/>
      <c r="H91" s="6" t="str">
        <f t="shared" si="10"/>
        <v>OK</v>
      </c>
    </row>
    <row r="92" spans="1:8">
      <c r="A92" s="6" t="s">
        <v>105</v>
      </c>
      <c r="B92" t="s">
        <v>66</v>
      </c>
      <c r="C92" s="3">
        <v>1</v>
      </c>
      <c r="D92" s="4">
        <v>0</v>
      </c>
      <c r="E92" s="4">
        <v>0</v>
      </c>
      <c r="F92" s="4">
        <f t="shared" si="9"/>
        <v>1</v>
      </c>
      <c r="G92" s="3"/>
      <c r="H92" s="6" t="str">
        <f t="shared" si="10"/>
        <v>OK</v>
      </c>
    </row>
    <row r="93" spans="1:8">
      <c r="A93" s="6" t="s">
        <v>106</v>
      </c>
      <c r="B93" t="s">
        <v>66</v>
      </c>
      <c r="C93" s="3">
        <v>5</v>
      </c>
      <c r="D93" s="4">
        <v>0</v>
      </c>
      <c r="E93" s="4">
        <v>1</v>
      </c>
      <c r="F93" s="4">
        <f t="shared" si="9"/>
        <v>4</v>
      </c>
      <c r="G93" s="3"/>
      <c r="H93" s="6" t="str">
        <f t="shared" si="10"/>
        <v>OK</v>
      </c>
    </row>
    <row r="94" spans="1:8">
      <c r="A94" s="6" t="s">
        <v>107</v>
      </c>
      <c r="B94" t="s">
        <v>66</v>
      </c>
      <c r="C94" s="3">
        <v>7</v>
      </c>
      <c r="D94" s="4">
        <v>0</v>
      </c>
      <c r="E94" s="4">
        <v>1</v>
      </c>
      <c r="F94" s="4">
        <f t="shared" si="9"/>
        <v>6</v>
      </c>
      <c r="G94" s="3"/>
      <c r="H94" s="6" t="str">
        <f t="shared" si="10"/>
        <v>OK</v>
      </c>
    </row>
    <row r="95" spans="1:8">
      <c r="A95" s="6" t="s">
        <v>108</v>
      </c>
      <c r="B95" t="s">
        <v>109</v>
      </c>
      <c r="C95" s="3">
        <v>1</v>
      </c>
      <c r="D95" s="4">
        <v>0</v>
      </c>
      <c r="E95" s="4">
        <v>0</v>
      </c>
      <c r="F95" s="4">
        <f t="shared" si="9"/>
        <v>1</v>
      </c>
      <c r="G95" s="3"/>
      <c r="H95" s="6" t="str">
        <f t="shared" si="10"/>
        <v>OK</v>
      </c>
    </row>
    <row r="96" spans="1:8">
      <c r="A96" s="6" t="s">
        <v>110</v>
      </c>
      <c r="B96" t="s">
        <v>109</v>
      </c>
      <c r="C96" s="3">
        <v>1</v>
      </c>
      <c r="D96" s="4">
        <v>0</v>
      </c>
      <c r="E96" s="4">
        <v>0</v>
      </c>
      <c r="F96" s="4">
        <f t="shared" si="9"/>
        <v>1</v>
      </c>
      <c r="G96" s="3"/>
      <c r="H96" s="6" t="str">
        <f t="shared" si="10"/>
        <v>OK</v>
      </c>
    </row>
    <row r="97" spans="1:8">
      <c r="A97" s="6" t="s">
        <v>111</v>
      </c>
      <c r="B97" t="s">
        <v>109</v>
      </c>
      <c r="C97" s="3">
        <v>2</v>
      </c>
      <c r="D97" s="4">
        <v>0</v>
      </c>
      <c r="E97" s="4">
        <v>0</v>
      </c>
      <c r="F97" s="4">
        <f t="shared" si="9"/>
        <v>2</v>
      </c>
      <c r="G97" s="3"/>
      <c r="H97" s="6" t="str">
        <f t="shared" si="10"/>
        <v>OK</v>
      </c>
    </row>
    <row r="98" spans="1:8">
      <c r="A98" s="6" t="s">
        <v>112</v>
      </c>
      <c r="B98" t="s">
        <v>109</v>
      </c>
      <c r="C98" s="3">
        <v>24</v>
      </c>
      <c r="D98" s="4">
        <v>0</v>
      </c>
      <c r="E98" s="4">
        <v>0</v>
      </c>
      <c r="F98" s="4">
        <f t="shared" si="9"/>
        <v>24</v>
      </c>
      <c r="G98" s="3"/>
      <c r="H98" s="6" t="str">
        <f t="shared" si="10"/>
        <v>OK</v>
      </c>
    </row>
    <row r="99" spans="1:8">
      <c r="A99" s="6" t="s">
        <v>113</v>
      </c>
      <c r="B99" t="s">
        <v>114</v>
      </c>
      <c r="C99" s="3">
        <v>6</v>
      </c>
      <c r="D99" s="4">
        <v>0</v>
      </c>
      <c r="E99" s="4">
        <v>0</v>
      </c>
      <c r="F99" s="4">
        <f t="shared" si="9"/>
        <v>6</v>
      </c>
      <c r="G99" s="3"/>
      <c r="H99" s="6" t="str">
        <f t="shared" si="10"/>
        <v>OK</v>
      </c>
    </row>
    <row r="100" spans="1:8">
      <c r="A100" s="6" t="s">
        <v>115</v>
      </c>
      <c r="B100" t="s">
        <v>114</v>
      </c>
      <c r="C100" s="3">
        <v>7</v>
      </c>
      <c r="D100" s="4">
        <v>0</v>
      </c>
      <c r="E100" s="4">
        <v>0</v>
      </c>
      <c r="F100" s="4">
        <f t="shared" si="9"/>
        <v>7</v>
      </c>
      <c r="G100" s="3"/>
      <c r="H100" s="6" t="str">
        <f t="shared" si="10"/>
        <v>OK</v>
      </c>
    </row>
    <row r="101" spans="1:8">
      <c r="A101" s="6" t="s">
        <v>116</v>
      </c>
      <c r="B101" s="6" t="s">
        <v>114</v>
      </c>
      <c r="C101" s="7">
        <v>7</v>
      </c>
      <c r="D101" s="4">
        <v>0</v>
      </c>
      <c r="E101" s="4">
        <v>0</v>
      </c>
      <c r="F101" s="8">
        <f t="shared" si="9"/>
        <v>7</v>
      </c>
      <c r="G101" s="7"/>
      <c r="H101" s="6" t="str">
        <f t="shared" si="10"/>
        <v>OK</v>
      </c>
    </row>
    <row r="102" spans="1:8">
      <c r="A102" t="s">
        <v>117</v>
      </c>
      <c r="B102" t="s">
        <v>114</v>
      </c>
      <c r="C102" s="7">
        <v>2</v>
      </c>
      <c r="D102" s="4">
        <v>0</v>
      </c>
      <c r="E102" s="4">
        <v>0</v>
      </c>
      <c r="F102" s="8">
        <f t="shared" si="9"/>
        <v>2</v>
      </c>
      <c r="H102" s="6" t="str">
        <f t="shared" si="10"/>
        <v>OK</v>
      </c>
    </row>
    <row r="103" spans="1:8">
      <c r="A103" t="s">
        <v>118</v>
      </c>
      <c r="B103" t="s">
        <v>114</v>
      </c>
      <c r="C103">
        <v>14</v>
      </c>
      <c r="D103" s="4">
        <v>0</v>
      </c>
      <c r="E103" s="4">
        <v>0</v>
      </c>
      <c r="F103" s="8">
        <f t="shared" si="9"/>
        <v>14</v>
      </c>
      <c r="H103" s="6" t="str">
        <f t="shared" si="10"/>
        <v>OK</v>
      </c>
    </row>
    <row r="104" spans="1:8">
      <c r="A104" t="s">
        <v>119</v>
      </c>
      <c r="B104" t="s">
        <v>114</v>
      </c>
      <c r="C104">
        <v>13</v>
      </c>
      <c r="D104" s="4">
        <v>0</v>
      </c>
      <c r="E104" s="4">
        <v>0</v>
      </c>
      <c r="F104" s="8">
        <f t="shared" si="9"/>
        <v>13</v>
      </c>
      <c r="H104" s="6" t="str">
        <f t="shared" si="10"/>
        <v>OK</v>
      </c>
    </row>
    <row r="105" spans="1:8">
      <c r="A105" t="s">
        <v>120</v>
      </c>
      <c r="B105" t="s">
        <v>114</v>
      </c>
      <c r="C105">
        <v>6</v>
      </c>
      <c r="D105" s="4">
        <v>0</v>
      </c>
      <c r="E105" s="4">
        <v>0</v>
      </c>
      <c r="F105" s="8">
        <f t="shared" si="9"/>
        <v>6</v>
      </c>
      <c r="H105" s="6" t="str">
        <f t="shared" si="10"/>
        <v>OK</v>
      </c>
    </row>
    <row r="106" spans="1:8">
      <c r="A106" t="s">
        <v>121</v>
      </c>
      <c r="B106" t="s">
        <v>114</v>
      </c>
      <c r="C106">
        <v>10</v>
      </c>
      <c r="D106" s="4">
        <v>0</v>
      </c>
      <c r="E106" s="4">
        <v>0</v>
      </c>
      <c r="F106" s="8">
        <f t="shared" si="9"/>
        <v>10</v>
      </c>
      <c r="H106" s="6" t="str">
        <f t="shared" si="10"/>
        <v>OK</v>
      </c>
    </row>
    <row r="107" spans="1:8">
      <c r="A107" t="s">
        <v>122</v>
      </c>
      <c r="B107" t="s">
        <v>114</v>
      </c>
      <c r="C107">
        <v>5</v>
      </c>
      <c r="D107" s="4">
        <v>0</v>
      </c>
      <c r="E107" s="4">
        <v>0</v>
      </c>
      <c r="F107" s="8">
        <f t="shared" si="9"/>
        <v>5</v>
      </c>
      <c r="H107" s="6" t="str">
        <f t="shared" si="10"/>
        <v>OK</v>
      </c>
    </row>
    <row r="108" spans="1:8">
      <c r="A108" t="s">
        <v>123</v>
      </c>
      <c r="B108" t="s">
        <v>114</v>
      </c>
      <c r="C108">
        <v>4</v>
      </c>
      <c r="D108" s="4">
        <v>0</v>
      </c>
      <c r="E108" s="4">
        <v>0</v>
      </c>
      <c r="F108" s="8">
        <f t="shared" si="9"/>
        <v>4</v>
      </c>
      <c r="H108" s="6" t="str">
        <f t="shared" si="10"/>
        <v>OK</v>
      </c>
    </row>
    <row r="109" spans="1:8">
      <c r="A109" t="s">
        <v>124</v>
      </c>
      <c r="B109" t="s">
        <v>114</v>
      </c>
      <c r="C109">
        <v>5</v>
      </c>
      <c r="D109" s="4">
        <v>0</v>
      </c>
      <c r="E109" s="4">
        <v>0</v>
      </c>
      <c r="F109" s="8">
        <f t="shared" si="9"/>
        <v>5</v>
      </c>
      <c r="H109" s="6" t="str">
        <f t="shared" si="10"/>
        <v>OK</v>
      </c>
    </row>
    <row r="110" spans="1:8">
      <c r="A110" t="s">
        <v>125</v>
      </c>
      <c r="B110" t="s">
        <v>114</v>
      </c>
      <c r="C110">
        <v>1</v>
      </c>
      <c r="D110" s="4">
        <v>0</v>
      </c>
      <c r="E110" s="4">
        <v>0</v>
      </c>
      <c r="F110" s="8">
        <f t="shared" si="9"/>
        <v>1</v>
      </c>
      <c r="H110" s="6" t="str">
        <f t="shared" si="10"/>
        <v>OK</v>
      </c>
    </row>
    <row r="111" spans="1:8">
      <c r="A111" t="s">
        <v>126</v>
      </c>
      <c r="B111" t="s">
        <v>114</v>
      </c>
      <c r="C111">
        <v>2</v>
      </c>
      <c r="D111" s="4">
        <v>0</v>
      </c>
      <c r="E111" s="4">
        <v>0</v>
      </c>
      <c r="F111" s="8">
        <f t="shared" si="9"/>
        <v>2</v>
      </c>
      <c r="H111" s="6" t="str">
        <f t="shared" si="10"/>
        <v>OK</v>
      </c>
    </row>
    <row r="112" spans="1:8">
      <c r="A112" t="s">
        <v>127</v>
      </c>
      <c r="B112" t="s">
        <v>114</v>
      </c>
      <c r="C112">
        <v>2</v>
      </c>
      <c r="D112" s="4">
        <v>0</v>
      </c>
      <c r="E112" s="4">
        <v>0</v>
      </c>
      <c r="F112" s="8">
        <f t="shared" si="9"/>
        <v>2</v>
      </c>
      <c r="H112" s="6" t="str">
        <f t="shared" si="10"/>
        <v>OK</v>
      </c>
    </row>
    <row r="113" spans="1:8">
      <c r="A113" t="s">
        <v>128</v>
      </c>
      <c r="B113" t="s">
        <v>114</v>
      </c>
      <c r="C113">
        <v>2</v>
      </c>
      <c r="D113" s="4">
        <v>0</v>
      </c>
      <c r="E113" s="4">
        <v>0</v>
      </c>
      <c r="F113" s="8">
        <f t="shared" si="9"/>
        <v>2</v>
      </c>
      <c r="H113" s="6" t="str">
        <f t="shared" si="10"/>
        <v>OK</v>
      </c>
    </row>
    <row r="114" spans="1:8">
      <c r="A114" t="s">
        <v>129</v>
      </c>
      <c r="B114" t="s">
        <v>114</v>
      </c>
      <c r="C114">
        <v>2</v>
      </c>
      <c r="D114" s="4">
        <v>0</v>
      </c>
      <c r="E114" s="4">
        <v>0</v>
      </c>
      <c r="F114" s="8">
        <f t="shared" si="9"/>
        <v>2</v>
      </c>
      <c r="H114" s="6" t="str">
        <f t="shared" si="10"/>
        <v>OK</v>
      </c>
    </row>
    <row r="115" spans="1:8">
      <c r="A115" t="s">
        <v>130</v>
      </c>
      <c r="B115" t="s">
        <v>114</v>
      </c>
      <c r="C115">
        <v>2</v>
      </c>
      <c r="D115" s="4">
        <v>0</v>
      </c>
      <c r="E115" s="4">
        <v>2</v>
      </c>
      <c r="F115" s="8">
        <f t="shared" si="9"/>
        <v>0</v>
      </c>
      <c r="H115" s="6" t="str">
        <f t="shared" si="10"/>
        <v>REORDER</v>
      </c>
    </row>
    <row r="116" spans="1:8">
      <c r="A116" t="s">
        <v>131</v>
      </c>
      <c r="B116" t="s">
        <v>114</v>
      </c>
      <c r="C116">
        <v>1</v>
      </c>
      <c r="D116" s="4">
        <v>0</v>
      </c>
      <c r="E116" s="4">
        <v>0</v>
      </c>
      <c r="F116" s="8">
        <f t="shared" si="9"/>
        <v>1</v>
      </c>
      <c r="H116" s="6" t="str">
        <f t="shared" si="10"/>
        <v>OK</v>
      </c>
    </row>
    <row r="117" spans="1:8">
      <c r="A117" t="s">
        <v>132</v>
      </c>
      <c r="B117" t="s">
        <v>114</v>
      </c>
      <c r="C117">
        <v>2</v>
      </c>
      <c r="D117" s="4">
        <v>0</v>
      </c>
      <c r="E117" s="4">
        <v>0</v>
      </c>
      <c r="F117" s="8">
        <f t="shared" si="9"/>
        <v>2</v>
      </c>
      <c r="H117" s="6" t="str">
        <f t="shared" si="10"/>
        <v>OK</v>
      </c>
    </row>
    <row r="118" spans="1:8">
      <c r="A118" t="s">
        <v>133</v>
      </c>
      <c r="B118" t="s">
        <v>40</v>
      </c>
      <c r="C118">
        <v>4</v>
      </c>
      <c r="D118" s="4">
        <v>0</v>
      </c>
      <c r="E118" s="4">
        <v>1</v>
      </c>
      <c r="F118" s="8">
        <f t="shared" si="9"/>
        <v>3</v>
      </c>
      <c r="H118" s="6" t="str">
        <f t="shared" si="10"/>
        <v>OK</v>
      </c>
    </row>
    <row r="119" spans="1:8">
      <c r="A119" t="s">
        <v>134</v>
      </c>
      <c r="B119" t="s">
        <v>66</v>
      </c>
      <c r="C119">
        <v>2</v>
      </c>
      <c r="D119" s="4">
        <v>0</v>
      </c>
      <c r="E119" s="4">
        <v>0</v>
      </c>
      <c r="F119" s="8">
        <f t="shared" si="9"/>
        <v>2</v>
      </c>
      <c r="H119" s="6" t="str">
        <f t="shared" si="10"/>
        <v>OK</v>
      </c>
    </row>
    <row r="120" spans="1:8">
      <c r="A120" t="s">
        <v>135</v>
      </c>
      <c r="B120" t="s">
        <v>31</v>
      </c>
      <c r="C120">
        <v>2</v>
      </c>
      <c r="D120" s="4">
        <v>0</v>
      </c>
      <c r="E120" s="4">
        <v>0</v>
      </c>
      <c r="F120" s="8">
        <f t="shared" si="9"/>
        <v>2</v>
      </c>
      <c r="H120" s="6" t="str">
        <f t="shared" si="10"/>
        <v>OK</v>
      </c>
    </row>
    <row r="121" spans="1:8">
      <c r="A121" t="s">
        <v>136</v>
      </c>
      <c r="B121" t="s">
        <v>114</v>
      </c>
      <c r="C121">
        <v>0</v>
      </c>
      <c r="D121" s="8">
        <v>0</v>
      </c>
      <c r="E121" s="4">
        <v>0</v>
      </c>
      <c r="F121" s="8">
        <f t="shared" si="9"/>
        <v>0</v>
      </c>
      <c r="H121" s="6" t="str">
        <f t="shared" si="10"/>
        <v>REORDER</v>
      </c>
    </row>
    <row r="122" spans="1:8">
      <c r="A122" t="s">
        <v>137</v>
      </c>
      <c r="B122" t="s">
        <v>114</v>
      </c>
      <c r="C122">
        <v>0</v>
      </c>
      <c r="D122" s="8">
        <v>0</v>
      </c>
      <c r="E122" s="4">
        <v>0</v>
      </c>
      <c r="F122" s="8">
        <f t="shared" si="9"/>
        <v>0</v>
      </c>
      <c r="H122" s="6" t="str">
        <f t="shared" si="10"/>
        <v>REORDER</v>
      </c>
    </row>
    <row r="123" spans="1:8">
      <c r="D123" s="8">
        <v>0</v>
      </c>
      <c r="E123" s="4">
        <v>0</v>
      </c>
      <c r="F123" s="8" t="str">
        <f t="shared" si="9"/>
        <v/>
      </c>
      <c r="H123" s="6" t="str">
        <f t="shared" si="10"/>
        <v/>
      </c>
    </row>
    <row r="124" spans="1:8">
      <c r="D124" s="8">
        <v>0</v>
      </c>
      <c r="E124" s="4">
        <v>0</v>
      </c>
      <c r="F124" s="8" t="str">
        <f t="shared" si="9"/>
        <v/>
      </c>
      <c r="H124" s="6" t="str">
        <f t="shared" si="10"/>
        <v/>
      </c>
    </row>
    <row r="125" spans="1:8">
      <c r="D125" s="8">
        <v>0</v>
      </c>
      <c r="E125" s="4">
        <v>0</v>
      </c>
      <c r="F125" s="8" t="str">
        <f t="shared" si="9"/>
        <v/>
      </c>
      <c r="H125" s="6" t="str">
        <f t="shared" si="10"/>
        <v/>
      </c>
    </row>
    <row r="126" spans="1:8">
      <c r="D126" s="8">
        <v>0</v>
      </c>
      <c r="E126" s="4">
        <v>0</v>
      </c>
      <c r="F126" s="8" t="str">
        <f t="shared" si="9"/>
        <v/>
      </c>
      <c r="H126" s="6" t="str">
        <f t="shared" si="10"/>
        <v/>
      </c>
    </row>
    <row r="127" spans="1:8">
      <c r="D127" s="8">
        <v>0</v>
      </c>
      <c r="E127" s="4">
        <v>0</v>
      </c>
      <c r="F127" s="8" t="str">
        <f t="shared" si="9"/>
        <v/>
      </c>
      <c r="H127" s="6" t="str">
        <f t="shared" si="10"/>
        <v/>
      </c>
    </row>
    <row r="128" spans="1:8">
      <c r="D128" s="8">
        <v>0</v>
      </c>
      <c r="E128" s="4">
        <v>0</v>
      </c>
      <c r="F128" s="8" t="str">
        <f t="shared" si="9"/>
        <v/>
      </c>
      <c r="H128" s="6" t="str">
        <f t="shared" si="10"/>
        <v/>
      </c>
    </row>
    <row r="129" spans="4:8">
      <c r="D129" s="8">
        <v>0</v>
      </c>
      <c r="E129" s="4">
        <v>0</v>
      </c>
      <c r="F129" s="8" t="str">
        <f t="shared" si="9"/>
        <v/>
      </c>
      <c r="H129" s="6" t="str">
        <f t="shared" si="10"/>
        <v/>
      </c>
    </row>
    <row r="130" spans="4:8">
      <c r="D130" s="8">
        <v>0</v>
      </c>
      <c r="E130" s="4">
        <v>0</v>
      </c>
      <c r="F130" s="8" t="str">
        <f t="shared" si="9"/>
        <v/>
      </c>
      <c r="H130" s="6" t="str">
        <f t="shared" si="10"/>
        <v/>
      </c>
    </row>
    <row r="131" spans="4:8">
      <c r="H131" s="6" t="str">
        <f t="shared" si="10"/>
        <v/>
      </c>
    </row>
    <row r="132" spans="4:8">
      <c r="H132" s="6" t="str">
        <f t="shared" si="10"/>
        <v/>
      </c>
    </row>
    <row r="133" spans="4:8">
      <c r="H133" s="6" t="str">
        <f t="shared" si="10"/>
        <v/>
      </c>
    </row>
    <row r="134" spans="4:8">
      <c r="H134" s="6" t="str">
        <f t="shared" si="10"/>
        <v/>
      </c>
    </row>
    <row r="135" spans="4:8">
      <c r="H135" s="6" t="str">
        <f t="shared" si="10"/>
        <v/>
      </c>
    </row>
    <row r="136" spans="4:8">
      <c r="H136" s="6" t="str">
        <f t="shared" si="10"/>
        <v/>
      </c>
    </row>
    <row r="137" spans="4:8">
      <c r="H137" s="6" t="str">
        <f t="shared" si="10"/>
        <v/>
      </c>
    </row>
    <row r="138" spans="4:8">
      <c r="H138" s="6" t="str">
        <f t="shared" si="10"/>
        <v/>
      </c>
    </row>
    <row r="139" spans="4:8">
      <c r="H139" s="6" t="str">
        <f t="shared" si="10"/>
        <v/>
      </c>
    </row>
    <row r="140" spans="4:8">
      <c r="H140" s="6" t="str">
        <f t="shared" si="10"/>
        <v/>
      </c>
    </row>
    <row r="141" spans="4:8">
      <c r="H141" s="6" t="str">
        <f t="shared" si="10"/>
        <v/>
      </c>
    </row>
    <row r="142" spans="4:8">
      <c r="H142" s="6" t="str">
        <f t="shared" si="10"/>
        <v/>
      </c>
    </row>
    <row r="143" spans="4:8">
      <c r="H143" s="6" t="str">
        <f t="shared" si="10"/>
        <v/>
      </c>
    </row>
    <row r="144" spans="4:8">
      <c r="H144" s="6" t="str">
        <f t="shared" si="10"/>
        <v/>
      </c>
    </row>
    <row r="145" spans="8:8">
      <c r="H145" s="6" t="str">
        <f t="shared" si="10"/>
        <v/>
      </c>
    </row>
    <row r="146" spans="8:8">
      <c r="H146" s="6" t="str">
        <f t="shared" ref="H146:H150" si="11">IF(A146="","",IF(F146&lt;=G146,"REORDER","OK"))</f>
        <v/>
      </c>
    </row>
    <row r="147" spans="8:8">
      <c r="H147" s="6" t="str">
        <f t="shared" si="11"/>
        <v/>
      </c>
    </row>
    <row r="148" spans="8:8">
      <c r="H148" s="6" t="str">
        <f t="shared" si="11"/>
        <v/>
      </c>
    </row>
    <row r="149" spans="8:8">
      <c r="H149" s="6" t="str">
        <f t="shared" si="11"/>
        <v/>
      </c>
    </row>
    <row r="150" spans="8:8">
      <c r="H150" s="6" t="str">
        <f t="shared" si="11"/>
        <v/>
      </c>
    </row>
  </sheetData>
  <mergeCells count="1">
    <mergeCell ref="A1:H1"/>
  </mergeCells>
  <conditionalFormatting sqref="H4:H150">
    <cfRule type="expression" dxfId="1" priority="1">
      <formula>H4="REORDER"</formula>
    </cfRule>
    <cfRule type="expression" dxfId="0" priority="2">
      <formula>H4="OK"</formula>
    </cfRule>
  </conditionalFormatting>
  <dataValidations count="1">
    <dataValidation type="list" sqref="B4:B150" xr:uid="{00000000-0002-0000-0000-000000000000}">
      <formula1>"WHISKEY,VODKA,TEQUILA,RUM,GIN,BEER,WINE,MIXER,OTHER"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workbookViewId="0">
      <selection activeCell="K21" sqref="K21"/>
    </sheetView>
  </sheetViews>
  <sheetFormatPr defaultRowHeight="14.25"/>
  <cols>
    <col min="1" max="1" width="25" customWidth="1"/>
    <col min="2" max="3" width="16" customWidth="1"/>
  </cols>
  <sheetData>
    <row r="1" spans="1:8" ht="30" customHeight="1">
      <c r="A1" s="56" t="s">
        <v>138</v>
      </c>
      <c r="B1" s="56"/>
      <c r="C1" s="56"/>
      <c r="D1" s="56"/>
      <c r="E1" s="56"/>
      <c r="F1" s="56"/>
      <c r="G1" s="56"/>
      <c r="H1" s="56"/>
    </row>
    <row r="3" spans="1:8" ht="15">
      <c r="A3" s="5" t="s">
        <v>139</v>
      </c>
      <c r="B3" s="5" t="s">
        <v>140</v>
      </c>
      <c r="E3" s="57" t="s">
        <v>141</v>
      </c>
      <c r="F3" s="57"/>
      <c r="G3" s="57"/>
      <c r="H3" s="57"/>
    </row>
    <row r="4" spans="1:8">
      <c r="A4" s="6" t="s">
        <v>142</v>
      </c>
      <c r="B4" s="9">
        <f>COUNTIF(Inventory!A4:A150,"&lt;&gt;")</f>
        <v>119</v>
      </c>
      <c r="E4" s="57"/>
      <c r="F4" s="58"/>
      <c r="G4" s="58"/>
      <c r="H4" s="57"/>
    </row>
    <row r="5" spans="1:8">
      <c r="A5" s="6" t="s">
        <v>143</v>
      </c>
      <c r="B5" s="9">
        <f>SUM(Inventory!F4:F150)</f>
        <v>1050</v>
      </c>
      <c r="E5" s="57"/>
      <c r="F5" s="58"/>
      <c r="G5" s="58"/>
      <c r="H5" s="57"/>
    </row>
    <row r="6" spans="1:8">
      <c r="A6" s="6" t="s">
        <v>144</v>
      </c>
      <c r="B6" s="9">
        <f>COUNTIF(Inventory!H4:H150,"REORDER")</f>
        <v>13</v>
      </c>
      <c r="E6" s="57"/>
      <c r="F6" s="58"/>
      <c r="G6" s="58"/>
      <c r="H6" s="57"/>
    </row>
    <row r="7" spans="1:8">
      <c r="E7" s="57"/>
      <c r="F7" s="58"/>
      <c r="G7" s="58"/>
      <c r="H7" s="57"/>
    </row>
    <row r="8" spans="1:8">
      <c r="E8" s="57"/>
      <c r="F8" s="57"/>
      <c r="G8" s="57"/>
      <c r="H8" s="57"/>
    </row>
    <row r="9" spans="1:8" ht="15" customHeight="1">
      <c r="A9" s="10" t="s">
        <v>145</v>
      </c>
      <c r="B9" s="10" t="s">
        <v>6</v>
      </c>
      <c r="C9" s="10" t="s">
        <v>7</v>
      </c>
    </row>
    <row r="10" spans="1:8">
      <c r="A10" s="6" t="str" cm="1">
        <f t="array" ref="A10:A22">_xlfn._xlws.FILTER(Inventory!A4:A150,Inventory!H4:H150="REORDER","No low stock items")</f>
        <v>McAllen 12 Yr</v>
      </c>
      <c r="B10" cm="1">
        <f t="array" ref="B10:B22">_xlfn._xlws.FILTER(Inventory!F4:F150,Inventory!H4:H150="REORDER","")</f>
        <v>0</v>
      </c>
      <c r="C10" s="6" cm="1">
        <f t="array" ref="C10:C22">_xlfn._xlws.FILTER(Inventory!G4:G150,Inventory!H4:H150="REORDER","")</f>
        <v>0</v>
      </c>
    </row>
    <row r="11" spans="1:8">
      <c r="A11" s="6" t="str">
        <v>WELL RUM COCONUT</v>
      </c>
      <c r="B11">
        <v>0</v>
      </c>
      <c r="C11" s="6">
        <v>0</v>
      </c>
    </row>
    <row r="12" spans="1:8">
      <c r="A12" s="6" t="str">
        <v>Bud light</v>
      </c>
      <c r="B12">
        <v>0</v>
      </c>
      <c r="C12" s="6">
        <v>0</v>
      </c>
    </row>
    <row r="13" spans="1:8">
      <c r="A13" s="6" t="str">
        <v>Coors</v>
      </c>
      <c r="B13">
        <v>0</v>
      </c>
      <c r="C13" s="6">
        <v>0</v>
      </c>
    </row>
    <row r="14" spans="1:8">
      <c r="A14" s="6" t="str">
        <v>High noon</v>
      </c>
      <c r="B14">
        <v>0</v>
      </c>
      <c r="C14" s="6">
        <v>0</v>
      </c>
    </row>
    <row r="15" spans="1:8">
      <c r="A15" s="6" t="str">
        <v>Miller</v>
      </c>
      <c r="B15">
        <v>0</v>
      </c>
      <c r="C15" s="6">
        <v>0</v>
      </c>
    </row>
    <row r="16" spans="1:8">
      <c r="A16" s="6" t="str">
        <v>Nutrl</v>
      </c>
      <c r="B16">
        <v>0</v>
      </c>
      <c r="C16" s="6">
        <v>0</v>
      </c>
    </row>
    <row r="17" spans="1:3">
      <c r="A17" s="6" t="str">
        <v>Twisted Tea</v>
      </c>
      <c r="B17">
        <v>0</v>
      </c>
      <c r="C17" s="6">
        <v>0</v>
      </c>
    </row>
    <row r="18" spans="1:3">
      <c r="A18" s="6" t="str">
        <v>Ultra 00</v>
      </c>
      <c r="B18">
        <v>0</v>
      </c>
      <c r="C18" s="6">
        <v>0</v>
      </c>
    </row>
    <row r="19" spans="1:3">
      <c r="A19" s="6" t="str">
        <v>White Claw</v>
      </c>
      <c r="B19">
        <v>0</v>
      </c>
      <c r="C19" s="6">
        <v>0</v>
      </c>
    </row>
    <row r="20" spans="1:3">
      <c r="A20" s="6" t="str">
        <v>SWEET N SOUR</v>
      </c>
      <c r="B20">
        <v>0</v>
      </c>
      <c r="C20" s="6">
        <v>0</v>
      </c>
    </row>
    <row r="21" spans="1:3">
      <c r="A21" s="6" t="str">
        <v>Pineapple Juice</v>
      </c>
      <c r="B21">
        <v>0</v>
      </c>
      <c r="C21" s="6">
        <v>0</v>
      </c>
    </row>
    <row r="22" spans="1:3">
      <c r="A22" s="6" t="str">
        <v>Cranberry Juice</v>
      </c>
      <c r="B22">
        <v>0</v>
      </c>
      <c r="C22" s="6">
        <v>0</v>
      </c>
    </row>
    <row r="23" spans="1:3">
      <c r="A23" s="6"/>
      <c r="C23" s="6"/>
    </row>
    <row r="24" spans="1:3">
      <c r="A24" s="6"/>
      <c r="C24" s="6"/>
    </row>
    <row r="25" spans="1:3">
      <c r="A25" s="6"/>
      <c r="C25" s="6"/>
    </row>
    <row r="26" spans="1:3">
      <c r="A26" s="6"/>
      <c r="C26" s="6"/>
    </row>
    <row r="27" spans="1:3">
      <c r="A27" s="6"/>
      <c r="C27" s="6"/>
    </row>
    <row r="28" spans="1:3">
      <c r="A28" s="6"/>
      <c r="C28" s="6"/>
    </row>
    <row r="29" spans="1:3">
      <c r="A29" s="6"/>
      <c r="C29" s="6"/>
    </row>
    <row r="30" spans="1:3">
      <c r="A30" s="6"/>
      <c r="B30" s="6"/>
      <c r="C30" s="6"/>
    </row>
  </sheetData>
  <mergeCells count="2">
    <mergeCell ref="A1:H1"/>
    <mergeCell ref="E3:H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0"/>
  <sheetViews>
    <sheetView workbookViewId="0">
      <selection activeCell="C42" sqref="C42"/>
    </sheetView>
  </sheetViews>
  <sheetFormatPr defaultRowHeight="14.25"/>
  <cols>
    <col min="1" max="1" width="13" customWidth="1"/>
    <col min="2" max="2" width="15" customWidth="1"/>
    <col min="3" max="3" width="25" customWidth="1"/>
    <col min="4" max="4" width="12" customWidth="1"/>
    <col min="5" max="5" width="22" customWidth="1"/>
    <col min="6" max="6" width="18" customWidth="1"/>
  </cols>
  <sheetData>
    <row r="1" spans="1:6" ht="27.95" customHeight="1">
      <c r="A1" s="59" t="s">
        <v>146</v>
      </c>
      <c r="B1" s="59"/>
      <c r="C1" s="59"/>
      <c r="D1" s="59"/>
      <c r="E1" s="59"/>
      <c r="F1" s="59"/>
    </row>
    <row r="3" spans="1:6" ht="15">
      <c r="A3" s="11" t="s">
        <v>147</v>
      </c>
      <c r="B3" s="11" t="s">
        <v>148</v>
      </c>
      <c r="C3" s="11" t="s">
        <v>149</v>
      </c>
      <c r="D3" s="11" t="s">
        <v>150</v>
      </c>
      <c r="E3" s="11" t="s">
        <v>151</v>
      </c>
      <c r="F3" s="11" t="s">
        <v>152</v>
      </c>
    </row>
    <row r="4" spans="1:6">
      <c r="A4" s="12"/>
      <c r="D4" s="2"/>
      <c r="F4" s="6"/>
    </row>
    <row r="5" spans="1:6">
      <c r="A5" s="12"/>
      <c r="D5" s="2"/>
      <c r="F5" s="6"/>
    </row>
    <row r="6" spans="1:6">
      <c r="A6" s="12"/>
      <c r="D6" s="2"/>
      <c r="F6" s="6"/>
    </row>
    <row r="7" spans="1:6">
      <c r="A7" s="12"/>
      <c r="D7" s="2"/>
      <c r="F7" s="6"/>
    </row>
    <row r="8" spans="1:6">
      <c r="A8" s="12"/>
      <c r="D8" s="2"/>
      <c r="F8" s="6"/>
    </row>
    <row r="9" spans="1:6">
      <c r="A9" s="12"/>
      <c r="D9" s="2"/>
      <c r="F9" s="6"/>
    </row>
    <row r="10" spans="1:6">
      <c r="A10" s="12"/>
      <c r="D10" s="2"/>
      <c r="F10" s="6"/>
    </row>
    <row r="11" spans="1:6">
      <c r="A11" s="12"/>
      <c r="D11" s="2"/>
      <c r="F11" s="6"/>
    </row>
    <row r="12" spans="1:6">
      <c r="A12" s="12"/>
      <c r="D12" s="2"/>
      <c r="F12" s="6"/>
    </row>
    <row r="13" spans="1:6">
      <c r="A13" s="12"/>
      <c r="D13" s="2"/>
      <c r="F13" s="6"/>
    </row>
    <row r="14" spans="1:6">
      <c r="A14" s="12"/>
      <c r="D14" s="2"/>
      <c r="F14" s="6"/>
    </row>
    <row r="15" spans="1:6">
      <c r="A15" s="12"/>
      <c r="D15" s="2"/>
      <c r="F15" s="6"/>
    </row>
    <row r="16" spans="1:6">
      <c r="A16" s="12"/>
      <c r="D16" s="2"/>
      <c r="F16" s="6"/>
    </row>
    <row r="17" spans="1:6">
      <c r="A17" s="12"/>
      <c r="D17" s="2"/>
      <c r="F17" s="6"/>
    </row>
    <row r="18" spans="1:6">
      <c r="A18" s="12"/>
      <c r="D18" s="2"/>
      <c r="F18" s="6"/>
    </row>
    <row r="19" spans="1:6">
      <c r="A19" s="12"/>
      <c r="D19" s="2"/>
      <c r="F19" s="6"/>
    </row>
    <row r="20" spans="1:6">
      <c r="A20" s="12"/>
      <c r="D20" s="2"/>
      <c r="F20" s="6"/>
    </row>
    <row r="21" spans="1:6">
      <c r="A21" s="12"/>
      <c r="D21" s="2"/>
      <c r="F21" s="6"/>
    </row>
    <row r="22" spans="1:6">
      <c r="A22" s="12"/>
      <c r="D22" s="2"/>
      <c r="F22" s="6"/>
    </row>
    <row r="23" spans="1:6">
      <c r="A23" s="12"/>
      <c r="D23" s="2"/>
      <c r="F23" s="6"/>
    </row>
    <row r="24" spans="1:6">
      <c r="A24" s="12"/>
      <c r="D24" s="2"/>
      <c r="F24" s="6"/>
    </row>
    <row r="25" spans="1:6">
      <c r="A25" s="12"/>
      <c r="D25" s="2"/>
      <c r="F25" s="6"/>
    </row>
    <row r="26" spans="1:6">
      <c r="A26" s="12"/>
      <c r="D26" s="2"/>
      <c r="F26" s="6"/>
    </row>
    <row r="27" spans="1:6">
      <c r="A27" s="12"/>
      <c r="D27" s="2"/>
      <c r="F27" s="6"/>
    </row>
    <row r="28" spans="1:6">
      <c r="A28" s="12"/>
      <c r="D28" s="2"/>
      <c r="F28" s="6"/>
    </row>
    <row r="29" spans="1:6">
      <c r="A29" s="12"/>
      <c r="D29" s="2"/>
      <c r="F29" s="6"/>
    </row>
    <row r="30" spans="1:6">
      <c r="A30" s="12"/>
      <c r="D30" s="2"/>
      <c r="F30" s="6"/>
    </row>
    <row r="31" spans="1:6">
      <c r="A31" s="12"/>
      <c r="D31" s="2"/>
      <c r="F31" s="6"/>
    </row>
    <row r="32" spans="1:6">
      <c r="A32" s="12"/>
      <c r="D32" s="2"/>
      <c r="F32" s="6"/>
    </row>
    <row r="33" spans="1:6">
      <c r="A33" s="12"/>
      <c r="D33" s="2"/>
      <c r="F33" s="6"/>
    </row>
    <row r="34" spans="1:6">
      <c r="A34" s="12"/>
      <c r="D34" s="2"/>
      <c r="F34" s="6"/>
    </row>
    <row r="35" spans="1:6">
      <c r="A35" s="12"/>
      <c r="D35" s="2"/>
      <c r="F35" s="6"/>
    </row>
    <row r="36" spans="1:6">
      <c r="A36" s="12"/>
      <c r="D36" s="2"/>
      <c r="F36" s="6"/>
    </row>
    <row r="37" spans="1:6">
      <c r="A37" s="12"/>
      <c r="D37" s="2"/>
      <c r="F37" s="6"/>
    </row>
    <row r="38" spans="1:6">
      <c r="A38" s="12"/>
      <c r="D38" s="2"/>
      <c r="F38" s="6"/>
    </row>
    <row r="39" spans="1:6">
      <c r="A39" s="12"/>
      <c r="D39" s="2"/>
      <c r="F39" s="6"/>
    </row>
    <row r="40" spans="1:6">
      <c r="A40" s="12"/>
      <c r="D40" s="2"/>
      <c r="F40" s="6"/>
    </row>
    <row r="41" spans="1:6">
      <c r="A41" s="12"/>
      <c r="D41" s="2"/>
      <c r="F41" s="6"/>
    </row>
    <row r="42" spans="1:6">
      <c r="A42" s="12"/>
      <c r="D42" s="2"/>
      <c r="F42" s="6"/>
    </row>
    <row r="43" spans="1:6">
      <c r="A43" s="12"/>
      <c r="D43" s="2"/>
      <c r="F43" s="6"/>
    </row>
    <row r="44" spans="1:6">
      <c r="A44" s="12"/>
      <c r="D44" s="2"/>
      <c r="F44" s="6"/>
    </row>
    <row r="45" spans="1:6">
      <c r="A45" s="12"/>
      <c r="D45" s="2"/>
      <c r="F45" s="6"/>
    </row>
    <row r="46" spans="1:6">
      <c r="A46" s="12"/>
      <c r="D46" s="2"/>
      <c r="F46" s="6"/>
    </row>
    <row r="47" spans="1:6">
      <c r="A47" s="12"/>
      <c r="D47" s="2"/>
      <c r="F47" s="6"/>
    </row>
    <row r="48" spans="1:6">
      <c r="A48" s="12"/>
      <c r="D48" s="2"/>
      <c r="F48" s="6"/>
    </row>
    <row r="49" spans="1:6">
      <c r="A49" s="12"/>
      <c r="D49" s="2"/>
      <c r="F49" s="6"/>
    </row>
    <row r="50" spans="1:6">
      <c r="A50" s="12"/>
      <c r="D50" s="2"/>
      <c r="F50" s="6"/>
    </row>
    <row r="51" spans="1:6">
      <c r="A51" s="12"/>
      <c r="D51" s="2"/>
      <c r="F51" s="6"/>
    </row>
    <row r="52" spans="1:6">
      <c r="A52" s="12"/>
      <c r="D52" s="2"/>
      <c r="F52" s="6"/>
    </row>
    <row r="53" spans="1:6">
      <c r="A53" s="12"/>
      <c r="D53" s="2"/>
      <c r="F53" s="6"/>
    </row>
    <row r="54" spans="1:6">
      <c r="A54" s="12"/>
      <c r="D54" s="2"/>
      <c r="F54" s="6"/>
    </row>
    <row r="55" spans="1:6">
      <c r="A55" s="12"/>
      <c r="D55" s="2"/>
      <c r="F55" s="6"/>
    </row>
    <row r="56" spans="1:6">
      <c r="A56" s="12"/>
      <c r="D56" s="2"/>
      <c r="F56" s="6"/>
    </row>
    <row r="57" spans="1:6">
      <c r="A57" s="12"/>
      <c r="D57" s="2"/>
      <c r="F57" s="6"/>
    </row>
    <row r="58" spans="1:6">
      <c r="A58" s="12"/>
      <c r="D58" s="2"/>
      <c r="F58" s="6"/>
    </row>
    <row r="59" spans="1:6">
      <c r="A59" s="12"/>
      <c r="D59" s="2"/>
      <c r="F59" s="6"/>
    </row>
    <row r="60" spans="1:6">
      <c r="A60" s="12"/>
      <c r="D60" s="2"/>
      <c r="F60" s="6"/>
    </row>
    <row r="61" spans="1:6">
      <c r="A61" s="12"/>
      <c r="D61" s="2"/>
      <c r="F61" s="6"/>
    </row>
    <row r="62" spans="1:6">
      <c r="A62" s="12"/>
      <c r="D62" s="2"/>
      <c r="F62" s="6"/>
    </row>
    <row r="63" spans="1:6">
      <c r="A63" s="12"/>
      <c r="D63" s="2"/>
      <c r="F63" s="6"/>
    </row>
    <row r="64" spans="1:6">
      <c r="A64" s="12"/>
      <c r="D64" s="2"/>
      <c r="F64" s="6"/>
    </row>
    <row r="65" spans="1:6">
      <c r="A65" s="12"/>
      <c r="D65" s="2"/>
      <c r="F65" s="6"/>
    </row>
    <row r="66" spans="1:6">
      <c r="A66" s="12"/>
      <c r="D66" s="2"/>
      <c r="F66" s="6"/>
    </row>
    <row r="67" spans="1:6">
      <c r="A67" s="12"/>
      <c r="D67" s="2"/>
      <c r="F67" s="6"/>
    </row>
    <row r="68" spans="1:6">
      <c r="A68" s="12"/>
      <c r="D68" s="2"/>
      <c r="F68" s="6"/>
    </row>
    <row r="69" spans="1:6">
      <c r="A69" s="12"/>
      <c r="D69" s="2"/>
      <c r="F69" s="6"/>
    </row>
    <row r="70" spans="1:6">
      <c r="A70" s="12"/>
      <c r="D70" s="2"/>
      <c r="F70" s="6"/>
    </row>
    <row r="71" spans="1:6">
      <c r="A71" s="12"/>
      <c r="D71" s="2"/>
      <c r="F71" s="6"/>
    </row>
    <row r="72" spans="1:6">
      <c r="A72" s="12"/>
      <c r="D72" s="2"/>
      <c r="F72" s="6"/>
    </row>
    <row r="73" spans="1:6">
      <c r="A73" s="12"/>
      <c r="D73" s="2"/>
      <c r="F73" s="6"/>
    </row>
    <row r="74" spans="1:6">
      <c r="A74" s="12"/>
      <c r="D74" s="2"/>
      <c r="F74" s="6"/>
    </row>
    <row r="75" spans="1:6">
      <c r="A75" s="12"/>
      <c r="D75" s="2"/>
      <c r="F75" s="6"/>
    </row>
    <row r="76" spans="1:6">
      <c r="A76" s="12"/>
      <c r="D76" s="2"/>
      <c r="F76" s="6"/>
    </row>
    <row r="77" spans="1:6">
      <c r="A77" s="12"/>
      <c r="D77" s="2"/>
      <c r="F77" s="6"/>
    </row>
    <row r="78" spans="1:6">
      <c r="A78" s="12"/>
      <c r="D78" s="2"/>
      <c r="F78" s="6"/>
    </row>
    <row r="79" spans="1:6">
      <c r="A79" s="12"/>
      <c r="D79" s="2"/>
      <c r="F79" s="6"/>
    </row>
    <row r="80" spans="1:6">
      <c r="A80" s="12"/>
      <c r="D80" s="2"/>
      <c r="F80" s="6"/>
    </row>
    <row r="81" spans="1:6">
      <c r="A81" s="12"/>
      <c r="D81" s="2"/>
      <c r="F81" s="6"/>
    </row>
    <row r="82" spans="1:6">
      <c r="A82" s="12"/>
      <c r="D82" s="2"/>
      <c r="F82" s="6"/>
    </row>
    <row r="83" spans="1:6">
      <c r="A83" s="12"/>
      <c r="D83" s="2"/>
      <c r="F83" s="6"/>
    </row>
    <row r="84" spans="1:6">
      <c r="A84" s="12"/>
      <c r="D84" s="2"/>
      <c r="F84" s="6"/>
    </row>
    <row r="85" spans="1:6">
      <c r="A85" s="12"/>
      <c r="D85" s="2"/>
      <c r="F85" s="6"/>
    </row>
    <row r="86" spans="1:6">
      <c r="A86" s="12"/>
      <c r="D86" s="2"/>
      <c r="F86" s="6"/>
    </row>
    <row r="87" spans="1:6">
      <c r="A87" s="12"/>
      <c r="D87" s="2"/>
      <c r="F87" s="6"/>
    </row>
    <row r="88" spans="1:6">
      <c r="A88" s="12"/>
      <c r="D88" s="2"/>
      <c r="F88" s="6"/>
    </row>
    <row r="89" spans="1:6">
      <c r="A89" s="12"/>
      <c r="D89" s="2"/>
      <c r="F89" s="6"/>
    </row>
    <row r="90" spans="1:6">
      <c r="A90" s="12"/>
      <c r="D90" s="2"/>
      <c r="F90" s="6"/>
    </row>
    <row r="91" spans="1:6">
      <c r="A91" s="12"/>
      <c r="D91" s="2"/>
      <c r="F91" s="6"/>
    </row>
    <row r="92" spans="1:6">
      <c r="A92" s="12"/>
      <c r="D92" s="2"/>
      <c r="F92" s="6"/>
    </row>
    <row r="93" spans="1:6">
      <c r="A93" s="12"/>
      <c r="D93" s="2"/>
      <c r="F93" s="6"/>
    </row>
    <row r="94" spans="1:6">
      <c r="A94" s="12"/>
      <c r="D94" s="2"/>
      <c r="F94" s="6"/>
    </row>
    <row r="95" spans="1:6">
      <c r="A95" s="12"/>
      <c r="D95" s="2"/>
      <c r="F95" s="6"/>
    </row>
    <row r="96" spans="1:6">
      <c r="A96" s="12"/>
      <c r="D96" s="2"/>
      <c r="F96" s="6"/>
    </row>
    <row r="97" spans="1:6">
      <c r="A97" s="12"/>
      <c r="D97" s="2"/>
      <c r="F97" s="6"/>
    </row>
    <row r="98" spans="1:6">
      <c r="A98" s="12"/>
      <c r="D98" s="2"/>
      <c r="F98" s="6"/>
    </row>
    <row r="99" spans="1:6">
      <c r="A99" s="12"/>
      <c r="D99" s="2"/>
      <c r="F99" s="6"/>
    </row>
    <row r="100" spans="1:6">
      <c r="A100" s="12"/>
      <c r="D100" s="2"/>
      <c r="F100" s="6"/>
    </row>
    <row r="101" spans="1:6">
      <c r="A101" s="12"/>
      <c r="D101" s="2"/>
      <c r="F101" s="6"/>
    </row>
    <row r="102" spans="1:6">
      <c r="A102" s="12"/>
      <c r="D102" s="2"/>
      <c r="F102" s="6"/>
    </row>
    <row r="103" spans="1:6">
      <c r="A103" s="12"/>
      <c r="D103" s="2"/>
      <c r="F103" s="6"/>
    </row>
    <row r="104" spans="1:6">
      <c r="A104" s="12"/>
      <c r="D104" s="2"/>
      <c r="F104" s="6"/>
    </row>
    <row r="105" spans="1:6">
      <c r="A105" s="12"/>
      <c r="D105" s="2"/>
      <c r="F105" s="6"/>
    </row>
    <row r="106" spans="1:6">
      <c r="A106" s="12"/>
      <c r="D106" s="2"/>
      <c r="F106" s="6"/>
    </row>
    <row r="107" spans="1:6">
      <c r="A107" s="12"/>
      <c r="D107" s="2"/>
      <c r="F107" s="6"/>
    </row>
    <row r="108" spans="1:6">
      <c r="A108" s="12"/>
      <c r="D108" s="2"/>
      <c r="F108" s="6"/>
    </row>
    <row r="109" spans="1:6">
      <c r="A109" s="12"/>
      <c r="D109" s="2"/>
      <c r="F109" s="6"/>
    </row>
    <row r="110" spans="1:6">
      <c r="A110" s="12"/>
      <c r="D110" s="2"/>
      <c r="F110" s="6"/>
    </row>
    <row r="111" spans="1:6">
      <c r="A111" s="12"/>
      <c r="D111" s="2"/>
      <c r="F111" s="6"/>
    </row>
    <row r="112" spans="1:6">
      <c r="A112" s="12"/>
      <c r="D112" s="2"/>
      <c r="F112" s="6"/>
    </row>
    <row r="113" spans="1:6">
      <c r="A113" s="12"/>
      <c r="D113" s="2"/>
      <c r="F113" s="6"/>
    </row>
    <row r="114" spans="1:6">
      <c r="A114" s="12"/>
      <c r="D114" s="2"/>
      <c r="F114" s="6"/>
    </row>
    <row r="115" spans="1:6">
      <c r="A115" s="12"/>
      <c r="D115" s="2"/>
      <c r="F115" s="6"/>
    </row>
    <row r="116" spans="1:6">
      <c r="A116" s="12"/>
      <c r="D116" s="2"/>
      <c r="F116" s="6"/>
    </row>
    <row r="117" spans="1:6">
      <c r="A117" s="12"/>
      <c r="D117" s="2"/>
      <c r="F117" s="6"/>
    </row>
    <row r="118" spans="1:6">
      <c r="A118" s="12"/>
      <c r="D118" s="2"/>
      <c r="F118" s="6"/>
    </row>
    <row r="119" spans="1:6">
      <c r="A119" s="12"/>
      <c r="D119" s="2"/>
      <c r="F119" s="6"/>
    </row>
    <row r="120" spans="1:6">
      <c r="A120" s="12"/>
      <c r="D120" s="2"/>
      <c r="F120" s="6"/>
    </row>
    <row r="121" spans="1:6">
      <c r="A121" s="12"/>
      <c r="D121" s="2"/>
      <c r="F121" s="6"/>
    </row>
    <row r="122" spans="1:6">
      <c r="A122" s="12"/>
      <c r="D122" s="2"/>
      <c r="F122" s="6"/>
    </row>
    <row r="123" spans="1:6">
      <c r="A123" s="12"/>
      <c r="D123" s="2"/>
      <c r="F123" s="6"/>
    </row>
    <row r="124" spans="1:6">
      <c r="A124" s="12"/>
      <c r="D124" s="2"/>
      <c r="F124" s="6"/>
    </row>
    <row r="125" spans="1:6">
      <c r="A125" s="12"/>
      <c r="D125" s="2"/>
      <c r="F125" s="6"/>
    </row>
    <row r="126" spans="1:6">
      <c r="A126" s="12"/>
      <c r="D126" s="2"/>
      <c r="F126" s="6"/>
    </row>
    <row r="127" spans="1:6">
      <c r="A127" s="12"/>
      <c r="D127" s="2"/>
      <c r="F127" s="6"/>
    </row>
    <row r="128" spans="1:6">
      <c r="A128" s="12"/>
      <c r="D128" s="2"/>
      <c r="F128" s="6"/>
    </row>
    <row r="129" spans="1:6">
      <c r="A129" s="12"/>
      <c r="D129" s="2"/>
      <c r="F129" s="6"/>
    </row>
    <row r="130" spans="1:6">
      <c r="A130" s="12"/>
      <c r="D130" s="2"/>
      <c r="F130" s="6"/>
    </row>
    <row r="131" spans="1:6">
      <c r="A131" s="12"/>
      <c r="D131" s="2"/>
      <c r="F131" s="6"/>
    </row>
    <row r="132" spans="1:6">
      <c r="A132" s="12"/>
      <c r="D132" s="2"/>
      <c r="F132" s="6"/>
    </row>
    <row r="133" spans="1:6">
      <c r="A133" s="12"/>
      <c r="D133" s="2"/>
      <c r="F133" s="6"/>
    </row>
    <row r="134" spans="1:6">
      <c r="A134" s="12"/>
      <c r="D134" s="2"/>
      <c r="F134" s="6"/>
    </row>
    <row r="135" spans="1:6">
      <c r="A135" s="12"/>
      <c r="D135" s="2"/>
      <c r="F135" s="6"/>
    </row>
    <row r="136" spans="1:6">
      <c r="A136" s="12"/>
      <c r="D136" s="2"/>
      <c r="F136" s="6"/>
    </row>
    <row r="137" spans="1:6">
      <c r="A137" s="12"/>
      <c r="D137" s="2"/>
      <c r="F137" s="6"/>
    </row>
    <row r="138" spans="1:6">
      <c r="A138" s="12"/>
      <c r="D138" s="2"/>
      <c r="F138" s="6"/>
    </row>
    <row r="139" spans="1:6">
      <c r="A139" s="12"/>
      <c r="D139" s="2"/>
      <c r="F139" s="6"/>
    </row>
    <row r="140" spans="1:6">
      <c r="A140" s="12"/>
      <c r="D140" s="2"/>
      <c r="F140" s="6"/>
    </row>
    <row r="141" spans="1:6">
      <c r="A141" s="12"/>
      <c r="D141" s="2"/>
      <c r="F141" s="6"/>
    </row>
    <row r="142" spans="1:6">
      <c r="A142" s="12"/>
      <c r="D142" s="2"/>
      <c r="F142" s="6"/>
    </row>
    <row r="143" spans="1:6">
      <c r="A143" s="12"/>
      <c r="D143" s="2"/>
      <c r="F143" s="6"/>
    </row>
    <row r="144" spans="1:6">
      <c r="A144" s="12"/>
      <c r="D144" s="2"/>
      <c r="F144" s="6"/>
    </row>
    <row r="145" spans="1:6">
      <c r="A145" s="12"/>
      <c r="D145" s="2"/>
      <c r="F145" s="6"/>
    </row>
    <row r="146" spans="1:6">
      <c r="A146" s="12"/>
      <c r="D146" s="2"/>
      <c r="F146" s="6"/>
    </row>
    <row r="147" spans="1:6">
      <c r="A147" s="12"/>
      <c r="D147" s="2"/>
      <c r="F147" s="6"/>
    </row>
    <row r="148" spans="1:6">
      <c r="A148" s="12"/>
      <c r="D148" s="2"/>
      <c r="F148" s="6"/>
    </row>
    <row r="149" spans="1:6">
      <c r="A149" s="12"/>
      <c r="D149" s="2"/>
      <c r="F149" s="6"/>
    </row>
    <row r="150" spans="1:6">
      <c r="A150" s="12"/>
      <c r="D150" s="2"/>
      <c r="F150" s="6"/>
    </row>
    <row r="151" spans="1:6">
      <c r="A151" s="12"/>
      <c r="D151" s="2"/>
      <c r="F151" s="6"/>
    </row>
    <row r="152" spans="1:6">
      <c r="A152" s="12"/>
      <c r="D152" s="2"/>
      <c r="F152" s="6"/>
    </row>
    <row r="153" spans="1:6">
      <c r="A153" s="12"/>
      <c r="D153" s="2"/>
      <c r="F153" s="6"/>
    </row>
    <row r="154" spans="1:6">
      <c r="A154" s="12"/>
      <c r="D154" s="2"/>
      <c r="F154" s="6"/>
    </row>
    <row r="155" spans="1:6">
      <c r="A155" s="12"/>
      <c r="D155" s="2"/>
      <c r="F155" s="6"/>
    </row>
    <row r="156" spans="1:6">
      <c r="A156" s="12"/>
      <c r="D156" s="2"/>
      <c r="F156" s="6"/>
    </row>
    <row r="157" spans="1:6">
      <c r="A157" s="12"/>
      <c r="D157" s="2"/>
      <c r="F157" s="6"/>
    </row>
    <row r="158" spans="1:6">
      <c r="A158" s="12"/>
      <c r="D158" s="2"/>
      <c r="F158" s="6"/>
    </row>
    <row r="159" spans="1:6">
      <c r="A159" s="12"/>
      <c r="D159" s="2"/>
      <c r="F159" s="6"/>
    </row>
    <row r="160" spans="1:6">
      <c r="A160" s="12"/>
      <c r="D160" s="2"/>
      <c r="F160" s="6"/>
    </row>
    <row r="161" spans="1:6">
      <c r="A161" s="12"/>
      <c r="D161" s="2"/>
      <c r="F161" s="6"/>
    </row>
    <row r="162" spans="1:6">
      <c r="A162" s="12"/>
      <c r="D162" s="2"/>
      <c r="F162" s="6"/>
    </row>
    <row r="163" spans="1:6">
      <c r="A163" s="12"/>
      <c r="D163" s="2"/>
      <c r="F163" s="6"/>
    </row>
    <row r="164" spans="1:6">
      <c r="A164" s="12"/>
      <c r="D164" s="2"/>
      <c r="F164" s="6"/>
    </row>
    <row r="165" spans="1:6">
      <c r="A165" s="12"/>
      <c r="D165" s="2"/>
      <c r="F165" s="6"/>
    </row>
    <row r="166" spans="1:6">
      <c r="A166" s="12"/>
      <c r="D166" s="2"/>
      <c r="F166" s="6"/>
    </row>
    <row r="167" spans="1:6">
      <c r="A167" s="12"/>
      <c r="D167" s="2"/>
      <c r="F167" s="6"/>
    </row>
    <row r="168" spans="1:6">
      <c r="A168" s="12"/>
      <c r="D168" s="2"/>
      <c r="F168" s="6"/>
    </row>
    <row r="169" spans="1:6">
      <c r="A169" s="12"/>
      <c r="D169" s="2"/>
      <c r="F169" s="6"/>
    </row>
    <row r="170" spans="1:6">
      <c r="A170" s="12"/>
      <c r="D170" s="2"/>
      <c r="F170" s="6"/>
    </row>
    <row r="171" spans="1:6">
      <c r="A171" s="12"/>
      <c r="D171" s="2"/>
      <c r="F171" s="6"/>
    </row>
    <row r="172" spans="1:6">
      <c r="A172" s="12"/>
      <c r="D172" s="2"/>
      <c r="F172" s="6"/>
    </row>
    <row r="173" spans="1:6">
      <c r="A173" s="12"/>
      <c r="D173" s="2"/>
      <c r="F173" s="6"/>
    </row>
    <row r="174" spans="1:6">
      <c r="A174" s="12"/>
      <c r="D174" s="2"/>
      <c r="F174" s="6"/>
    </row>
    <row r="175" spans="1:6">
      <c r="A175" s="12"/>
      <c r="D175" s="2"/>
      <c r="F175" s="6"/>
    </row>
    <row r="176" spans="1:6">
      <c r="A176" s="12"/>
      <c r="D176" s="2"/>
      <c r="F176" s="6"/>
    </row>
    <row r="177" spans="1:6">
      <c r="A177" s="12"/>
      <c r="D177" s="2"/>
      <c r="F177" s="6"/>
    </row>
    <row r="178" spans="1:6">
      <c r="A178" s="12"/>
      <c r="D178" s="2"/>
      <c r="F178" s="6"/>
    </row>
    <row r="179" spans="1:6">
      <c r="A179" s="12"/>
      <c r="D179" s="2"/>
      <c r="F179" s="6"/>
    </row>
    <row r="180" spans="1:6">
      <c r="A180" s="12"/>
      <c r="D180" s="2"/>
      <c r="F180" s="6"/>
    </row>
    <row r="181" spans="1:6">
      <c r="A181" s="12"/>
      <c r="D181" s="2"/>
      <c r="F181" s="6"/>
    </row>
    <row r="182" spans="1:6">
      <c r="A182" s="12"/>
      <c r="D182" s="2"/>
      <c r="F182" s="6"/>
    </row>
    <row r="183" spans="1:6">
      <c r="A183" s="12"/>
      <c r="D183" s="2"/>
      <c r="F183" s="6"/>
    </row>
    <row r="184" spans="1:6">
      <c r="A184" s="12"/>
      <c r="D184" s="2"/>
      <c r="F184" s="6"/>
    </row>
    <row r="185" spans="1:6">
      <c r="A185" s="12"/>
      <c r="D185" s="2"/>
      <c r="F185" s="6"/>
    </row>
    <row r="186" spans="1:6">
      <c r="A186" s="12"/>
      <c r="D186" s="2"/>
      <c r="F186" s="6"/>
    </row>
    <row r="187" spans="1:6">
      <c r="A187" s="12"/>
      <c r="D187" s="2"/>
      <c r="F187" s="6"/>
    </row>
    <row r="188" spans="1:6">
      <c r="A188" s="12"/>
      <c r="D188" s="2"/>
      <c r="F188" s="6"/>
    </row>
    <row r="189" spans="1:6">
      <c r="A189" s="12"/>
      <c r="D189" s="2"/>
      <c r="F189" s="6"/>
    </row>
    <row r="190" spans="1:6">
      <c r="A190" s="12"/>
      <c r="D190" s="2"/>
      <c r="F190" s="6"/>
    </row>
    <row r="191" spans="1:6">
      <c r="A191" s="12"/>
      <c r="D191" s="2"/>
      <c r="F191" s="6"/>
    </row>
    <row r="192" spans="1:6">
      <c r="A192" s="12"/>
      <c r="D192" s="2"/>
      <c r="F192" s="6"/>
    </row>
    <row r="193" spans="1:6">
      <c r="A193" s="12"/>
      <c r="D193" s="2"/>
      <c r="F193" s="6"/>
    </row>
    <row r="194" spans="1:6">
      <c r="A194" s="12"/>
      <c r="D194" s="2"/>
      <c r="F194" s="6"/>
    </row>
    <row r="195" spans="1:6">
      <c r="A195" s="12"/>
      <c r="D195" s="2"/>
      <c r="F195" s="6"/>
    </row>
    <row r="196" spans="1:6">
      <c r="A196" s="12"/>
      <c r="D196" s="2"/>
      <c r="F196" s="6"/>
    </row>
    <row r="197" spans="1:6">
      <c r="A197" s="12"/>
      <c r="D197" s="2"/>
      <c r="F197" s="6"/>
    </row>
    <row r="198" spans="1:6">
      <c r="A198" s="12"/>
      <c r="D198" s="2"/>
      <c r="F198" s="6"/>
    </row>
    <row r="199" spans="1:6">
      <c r="A199" s="12"/>
      <c r="D199" s="2"/>
      <c r="F199" s="6"/>
    </row>
    <row r="200" spans="1:6">
      <c r="A200" s="12"/>
      <c r="D200" s="2"/>
      <c r="F200" s="6"/>
    </row>
    <row r="201" spans="1:6">
      <c r="A201" s="12"/>
      <c r="D201" s="2"/>
      <c r="F201" s="6"/>
    </row>
    <row r="202" spans="1:6">
      <c r="A202" s="12"/>
      <c r="D202" s="2"/>
      <c r="F202" s="6"/>
    </row>
    <row r="203" spans="1:6">
      <c r="A203" s="12"/>
      <c r="D203" s="2"/>
      <c r="F203" s="6"/>
    </row>
    <row r="204" spans="1:6">
      <c r="A204" s="12"/>
      <c r="D204" s="2"/>
      <c r="F204" s="6"/>
    </row>
    <row r="205" spans="1:6">
      <c r="A205" s="12"/>
      <c r="D205" s="2"/>
      <c r="F205" s="6"/>
    </row>
    <row r="206" spans="1:6">
      <c r="A206" s="12"/>
      <c r="D206" s="2"/>
      <c r="F206" s="6"/>
    </row>
    <row r="207" spans="1:6">
      <c r="A207" s="12"/>
      <c r="D207" s="2"/>
      <c r="F207" s="6"/>
    </row>
    <row r="208" spans="1:6">
      <c r="A208" s="12"/>
      <c r="D208" s="2"/>
      <c r="F208" s="6"/>
    </row>
    <row r="209" spans="1:6">
      <c r="A209" s="12"/>
      <c r="D209" s="2"/>
      <c r="F209" s="6"/>
    </row>
    <row r="210" spans="1:6">
      <c r="A210" s="12"/>
      <c r="D210" s="2"/>
      <c r="F210" s="6"/>
    </row>
    <row r="211" spans="1:6">
      <c r="A211" s="12"/>
      <c r="D211" s="2"/>
      <c r="F211" s="6"/>
    </row>
    <row r="212" spans="1:6">
      <c r="A212" s="12"/>
      <c r="D212" s="2"/>
      <c r="F212" s="6"/>
    </row>
    <row r="213" spans="1:6">
      <c r="A213" s="12"/>
      <c r="D213" s="2"/>
      <c r="F213" s="6"/>
    </row>
    <row r="214" spans="1:6">
      <c r="A214" s="12"/>
      <c r="D214" s="2"/>
      <c r="F214" s="6"/>
    </row>
    <row r="215" spans="1:6">
      <c r="A215" s="12"/>
      <c r="D215" s="2"/>
      <c r="F215" s="6"/>
    </row>
    <row r="216" spans="1:6">
      <c r="A216" s="12"/>
      <c r="D216" s="2"/>
      <c r="F216" s="6"/>
    </row>
    <row r="217" spans="1:6">
      <c r="A217" s="12"/>
      <c r="D217" s="2"/>
      <c r="F217" s="6"/>
    </row>
    <row r="218" spans="1:6">
      <c r="A218" s="12"/>
      <c r="D218" s="2"/>
      <c r="F218" s="6"/>
    </row>
    <row r="219" spans="1:6">
      <c r="A219" s="12"/>
      <c r="D219" s="2"/>
      <c r="F219" s="6"/>
    </row>
    <row r="220" spans="1:6">
      <c r="A220" s="12"/>
      <c r="D220" s="2"/>
      <c r="F220" s="6"/>
    </row>
    <row r="221" spans="1:6">
      <c r="A221" s="12"/>
      <c r="D221" s="2"/>
      <c r="F221" s="6"/>
    </row>
    <row r="222" spans="1:6">
      <c r="A222" s="12"/>
      <c r="D222" s="2"/>
      <c r="F222" s="6"/>
    </row>
    <row r="223" spans="1:6">
      <c r="A223" s="12"/>
      <c r="D223" s="2"/>
      <c r="F223" s="6"/>
    </row>
    <row r="224" spans="1:6">
      <c r="A224" s="12"/>
      <c r="D224" s="2"/>
      <c r="F224" s="6"/>
    </row>
    <row r="225" spans="1:6">
      <c r="A225" s="12"/>
      <c r="D225" s="2"/>
      <c r="F225" s="6"/>
    </row>
    <row r="226" spans="1:6">
      <c r="A226" s="12"/>
      <c r="D226" s="2"/>
      <c r="F226" s="6"/>
    </row>
    <row r="227" spans="1:6">
      <c r="A227" s="12"/>
      <c r="D227" s="2"/>
      <c r="F227" s="6"/>
    </row>
    <row r="228" spans="1:6">
      <c r="A228" s="12"/>
      <c r="D228" s="2"/>
      <c r="F228" s="6"/>
    </row>
    <row r="229" spans="1:6">
      <c r="A229" s="12"/>
      <c r="D229" s="2"/>
      <c r="F229" s="6"/>
    </row>
    <row r="230" spans="1:6">
      <c r="A230" s="12"/>
      <c r="D230" s="2"/>
      <c r="F230" s="6"/>
    </row>
    <row r="231" spans="1:6">
      <c r="A231" s="12"/>
      <c r="D231" s="2"/>
      <c r="F231" s="6"/>
    </row>
    <row r="232" spans="1:6">
      <c r="A232" s="12"/>
      <c r="D232" s="2"/>
      <c r="F232" s="6"/>
    </row>
    <row r="233" spans="1:6">
      <c r="A233" s="12"/>
      <c r="D233" s="2"/>
      <c r="F233" s="6"/>
    </row>
    <row r="234" spans="1:6">
      <c r="A234" s="12"/>
      <c r="D234" s="2"/>
      <c r="F234" s="6"/>
    </row>
    <row r="235" spans="1:6">
      <c r="A235" s="12"/>
      <c r="D235" s="2"/>
      <c r="F235" s="6"/>
    </row>
    <row r="236" spans="1:6">
      <c r="A236" s="12"/>
      <c r="D236" s="2"/>
      <c r="F236" s="6"/>
    </row>
    <row r="237" spans="1:6">
      <c r="A237" s="12"/>
      <c r="D237" s="2"/>
      <c r="F237" s="6"/>
    </row>
    <row r="238" spans="1:6">
      <c r="A238" s="12"/>
      <c r="D238" s="2"/>
      <c r="F238" s="6"/>
    </row>
    <row r="239" spans="1:6">
      <c r="A239" s="12"/>
      <c r="D239" s="2"/>
      <c r="F239" s="6"/>
    </row>
    <row r="240" spans="1:6">
      <c r="A240" s="12"/>
      <c r="D240" s="2"/>
      <c r="F240" s="6"/>
    </row>
    <row r="241" spans="1:6">
      <c r="A241" s="12"/>
      <c r="D241" s="2"/>
      <c r="F241" s="6"/>
    </row>
    <row r="242" spans="1:6">
      <c r="A242" s="12"/>
      <c r="D242" s="2"/>
      <c r="F242" s="6"/>
    </row>
    <row r="243" spans="1:6">
      <c r="A243" s="12"/>
      <c r="D243" s="2"/>
      <c r="F243" s="6"/>
    </row>
    <row r="244" spans="1:6">
      <c r="A244" s="12"/>
      <c r="D244" s="2"/>
      <c r="F244" s="6"/>
    </row>
    <row r="245" spans="1:6">
      <c r="A245" s="12"/>
      <c r="D245" s="2"/>
      <c r="F245" s="6"/>
    </row>
    <row r="246" spans="1:6">
      <c r="A246" s="12"/>
      <c r="D246" s="2"/>
      <c r="F246" s="6"/>
    </row>
    <row r="247" spans="1:6">
      <c r="A247" s="12"/>
      <c r="D247" s="2"/>
      <c r="F247" s="6"/>
    </row>
    <row r="248" spans="1:6">
      <c r="A248" s="12"/>
      <c r="D248" s="2"/>
      <c r="F248" s="6"/>
    </row>
    <row r="249" spans="1:6">
      <c r="A249" s="12"/>
      <c r="D249" s="2"/>
      <c r="F249" s="6"/>
    </row>
    <row r="250" spans="1:6">
      <c r="A250" s="12"/>
      <c r="D250" s="2"/>
      <c r="F250" s="6"/>
    </row>
    <row r="251" spans="1:6">
      <c r="A251" s="12"/>
      <c r="D251" s="2"/>
      <c r="F251" s="6"/>
    </row>
    <row r="252" spans="1:6">
      <c r="A252" s="12"/>
      <c r="D252" s="2"/>
      <c r="F252" s="6"/>
    </row>
    <row r="253" spans="1:6">
      <c r="A253" s="12"/>
      <c r="D253" s="2"/>
      <c r="F253" s="6"/>
    </row>
    <row r="254" spans="1:6">
      <c r="A254" s="12"/>
      <c r="D254" s="2"/>
      <c r="F254" s="6"/>
    </row>
    <row r="255" spans="1:6">
      <c r="A255" s="12"/>
      <c r="D255" s="2"/>
      <c r="F255" s="6"/>
    </row>
    <row r="256" spans="1:6">
      <c r="A256" s="12"/>
      <c r="D256" s="2"/>
      <c r="F256" s="6"/>
    </row>
    <row r="257" spans="1:6">
      <c r="A257" s="12"/>
      <c r="D257" s="2"/>
      <c r="F257" s="6"/>
    </row>
    <row r="258" spans="1:6">
      <c r="A258" s="12"/>
      <c r="D258" s="2"/>
      <c r="F258" s="6"/>
    </row>
    <row r="259" spans="1:6">
      <c r="A259" s="12"/>
      <c r="D259" s="2"/>
      <c r="F259" s="6"/>
    </row>
    <row r="260" spans="1:6">
      <c r="A260" s="12"/>
      <c r="D260" s="2"/>
      <c r="F260" s="6"/>
    </row>
    <row r="261" spans="1:6">
      <c r="A261" s="12"/>
      <c r="D261" s="2"/>
      <c r="F261" s="6"/>
    </row>
    <row r="262" spans="1:6">
      <c r="A262" s="12"/>
      <c r="D262" s="2"/>
      <c r="F262" s="6"/>
    </row>
    <row r="263" spans="1:6">
      <c r="A263" s="12"/>
      <c r="D263" s="2"/>
      <c r="F263" s="6"/>
    </row>
    <row r="264" spans="1:6">
      <c r="A264" s="12"/>
      <c r="D264" s="2"/>
      <c r="F264" s="6"/>
    </row>
    <row r="265" spans="1:6">
      <c r="A265" s="12"/>
      <c r="D265" s="2"/>
      <c r="F265" s="6"/>
    </row>
    <row r="266" spans="1:6">
      <c r="A266" s="12"/>
      <c r="D266" s="2"/>
      <c r="F266" s="6"/>
    </row>
    <row r="267" spans="1:6">
      <c r="A267" s="12"/>
      <c r="D267" s="2"/>
      <c r="F267" s="6"/>
    </row>
    <row r="268" spans="1:6">
      <c r="A268" s="12"/>
      <c r="D268" s="2"/>
      <c r="F268" s="6"/>
    </row>
    <row r="269" spans="1:6">
      <c r="A269" s="12"/>
      <c r="D269" s="2"/>
      <c r="F269" s="6"/>
    </row>
    <row r="270" spans="1:6">
      <c r="A270" s="12"/>
      <c r="D270" s="2"/>
      <c r="F270" s="6"/>
    </row>
    <row r="271" spans="1:6">
      <c r="A271" s="12"/>
      <c r="D271" s="2"/>
      <c r="F271" s="6"/>
    </row>
    <row r="272" spans="1:6">
      <c r="A272" s="12"/>
      <c r="D272" s="2"/>
      <c r="F272" s="6"/>
    </row>
    <row r="273" spans="1:6">
      <c r="A273" s="12"/>
      <c r="D273" s="2"/>
      <c r="F273" s="6"/>
    </row>
    <row r="274" spans="1:6">
      <c r="A274" s="12"/>
      <c r="D274" s="2"/>
      <c r="F274" s="6"/>
    </row>
    <row r="275" spans="1:6">
      <c r="A275" s="12"/>
      <c r="D275" s="2"/>
      <c r="F275" s="6"/>
    </row>
    <row r="276" spans="1:6">
      <c r="A276" s="12"/>
      <c r="D276" s="2"/>
      <c r="F276" s="6"/>
    </row>
    <row r="277" spans="1:6">
      <c r="A277" s="12"/>
      <c r="D277" s="2"/>
      <c r="F277" s="6"/>
    </row>
    <row r="278" spans="1:6">
      <c r="A278" s="12"/>
      <c r="D278" s="2"/>
      <c r="F278" s="6"/>
    </row>
    <row r="279" spans="1:6">
      <c r="A279" s="12"/>
      <c r="D279" s="2"/>
      <c r="F279" s="6"/>
    </row>
    <row r="280" spans="1:6">
      <c r="A280" s="12"/>
      <c r="D280" s="2"/>
      <c r="F280" s="6"/>
    </row>
    <row r="281" spans="1:6">
      <c r="A281" s="12"/>
      <c r="D281" s="2"/>
      <c r="F281" s="6"/>
    </row>
    <row r="282" spans="1:6">
      <c r="A282" s="12"/>
      <c r="D282" s="2"/>
      <c r="F282" s="6"/>
    </row>
    <row r="283" spans="1:6">
      <c r="A283" s="12"/>
      <c r="D283" s="2"/>
      <c r="F283" s="6"/>
    </row>
    <row r="284" spans="1:6">
      <c r="A284" s="12"/>
      <c r="D284" s="2"/>
      <c r="F284" s="6"/>
    </row>
    <row r="285" spans="1:6">
      <c r="A285" s="12"/>
      <c r="D285" s="2"/>
      <c r="F285" s="6"/>
    </row>
    <row r="286" spans="1:6">
      <c r="A286" s="12"/>
      <c r="D286" s="2"/>
      <c r="F286" s="6"/>
    </row>
    <row r="287" spans="1:6">
      <c r="A287" s="12"/>
      <c r="D287" s="2"/>
      <c r="F287" s="6"/>
    </row>
    <row r="288" spans="1:6">
      <c r="A288" s="12"/>
      <c r="D288" s="2"/>
      <c r="F288" s="6"/>
    </row>
    <row r="289" spans="1:6">
      <c r="A289" s="12"/>
      <c r="D289" s="2"/>
      <c r="F289" s="6"/>
    </row>
    <row r="290" spans="1:6">
      <c r="A290" s="12"/>
      <c r="D290" s="2"/>
      <c r="F290" s="6"/>
    </row>
    <row r="291" spans="1:6">
      <c r="A291" s="12"/>
      <c r="D291" s="2"/>
      <c r="F291" s="6"/>
    </row>
    <row r="292" spans="1:6">
      <c r="A292" s="12"/>
      <c r="D292" s="2"/>
      <c r="F292" s="6"/>
    </row>
    <row r="293" spans="1:6">
      <c r="A293" s="12"/>
      <c r="D293" s="2"/>
      <c r="F293" s="6"/>
    </row>
    <row r="294" spans="1:6">
      <c r="A294" s="12"/>
      <c r="D294" s="2"/>
      <c r="F294" s="6"/>
    </row>
    <row r="295" spans="1:6">
      <c r="A295" s="12"/>
      <c r="D295" s="2"/>
      <c r="F295" s="6"/>
    </row>
    <row r="296" spans="1:6">
      <c r="A296" s="12"/>
      <c r="D296" s="2"/>
      <c r="F296" s="6"/>
    </row>
    <row r="297" spans="1:6">
      <c r="A297" s="12"/>
      <c r="D297" s="2"/>
      <c r="F297" s="6"/>
    </row>
    <row r="298" spans="1:6">
      <c r="A298" s="12"/>
      <c r="D298" s="2"/>
      <c r="F298" s="6"/>
    </row>
    <row r="299" spans="1:6">
      <c r="A299" s="12"/>
      <c r="D299" s="2"/>
      <c r="F299" s="6"/>
    </row>
    <row r="300" spans="1:6">
      <c r="A300" s="12"/>
      <c r="D300" s="2"/>
      <c r="F300" s="6"/>
    </row>
    <row r="301" spans="1:6">
      <c r="A301" s="12"/>
      <c r="D301" s="2"/>
      <c r="F301" s="6"/>
    </row>
    <row r="302" spans="1:6">
      <c r="A302" s="12"/>
      <c r="D302" s="2"/>
      <c r="F302" s="6"/>
    </row>
    <row r="303" spans="1:6">
      <c r="A303" s="12"/>
      <c r="D303" s="2"/>
      <c r="F303" s="6"/>
    </row>
    <row r="304" spans="1:6">
      <c r="A304" s="12"/>
      <c r="D304" s="2"/>
      <c r="F304" s="6"/>
    </row>
    <row r="305" spans="1:6">
      <c r="A305" s="12"/>
      <c r="D305" s="2"/>
      <c r="F305" s="6"/>
    </row>
    <row r="306" spans="1:6">
      <c r="A306" s="12"/>
      <c r="D306" s="2"/>
      <c r="F306" s="6"/>
    </row>
    <row r="307" spans="1:6">
      <c r="A307" s="12"/>
      <c r="D307" s="2"/>
      <c r="F307" s="6"/>
    </row>
    <row r="308" spans="1:6">
      <c r="A308" s="12"/>
      <c r="D308" s="2"/>
      <c r="F308" s="6"/>
    </row>
    <row r="309" spans="1:6">
      <c r="A309" s="12"/>
      <c r="D309" s="2"/>
      <c r="F309" s="6"/>
    </row>
    <row r="310" spans="1:6">
      <c r="A310" s="12"/>
      <c r="D310" s="2"/>
      <c r="F310" s="6"/>
    </row>
    <row r="311" spans="1:6">
      <c r="A311" s="12"/>
      <c r="D311" s="2"/>
      <c r="F311" s="6"/>
    </row>
    <row r="312" spans="1:6">
      <c r="A312" s="12"/>
      <c r="D312" s="2"/>
      <c r="F312" s="6"/>
    </row>
    <row r="313" spans="1:6">
      <c r="A313" s="12"/>
      <c r="D313" s="2"/>
      <c r="F313" s="6"/>
    </row>
    <row r="314" spans="1:6">
      <c r="A314" s="12"/>
      <c r="D314" s="2"/>
      <c r="F314" s="6"/>
    </row>
    <row r="315" spans="1:6">
      <c r="A315" s="12"/>
      <c r="D315" s="2"/>
      <c r="F315" s="6"/>
    </row>
    <row r="316" spans="1:6">
      <c r="A316" s="12"/>
      <c r="D316" s="2"/>
      <c r="F316" s="6"/>
    </row>
    <row r="317" spans="1:6">
      <c r="A317" s="12"/>
      <c r="D317" s="2"/>
      <c r="F317" s="6"/>
    </row>
    <row r="318" spans="1:6">
      <c r="A318" s="12"/>
      <c r="D318" s="2"/>
      <c r="F318" s="6"/>
    </row>
    <row r="319" spans="1:6">
      <c r="A319" s="12"/>
      <c r="D319" s="2"/>
      <c r="F319" s="6"/>
    </row>
    <row r="320" spans="1:6">
      <c r="A320" s="12"/>
      <c r="D320" s="2"/>
      <c r="F320" s="6"/>
    </row>
    <row r="321" spans="1:6">
      <c r="A321" s="12"/>
      <c r="D321" s="2"/>
      <c r="F321" s="6"/>
    </row>
    <row r="322" spans="1:6">
      <c r="A322" s="12"/>
      <c r="D322" s="2"/>
      <c r="F322" s="6"/>
    </row>
    <row r="323" spans="1:6">
      <c r="A323" s="12"/>
      <c r="D323" s="2"/>
      <c r="F323" s="6"/>
    </row>
    <row r="324" spans="1:6">
      <c r="A324" s="12"/>
      <c r="D324" s="2"/>
      <c r="F324" s="6"/>
    </row>
    <row r="325" spans="1:6">
      <c r="A325" s="12"/>
      <c r="D325" s="2"/>
      <c r="F325" s="6"/>
    </row>
    <row r="326" spans="1:6">
      <c r="A326" s="12"/>
      <c r="D326" s="2"/>
      <c r="F326" s="6"/>
    </row>
    <row r="327" spans="1:6">
      <c r="A327" s="12"/>
      <c r="D327" s="2"/>
      <c r="F327" s="6"/>
    </row>
    <row r="328" spans="1:6">
      <c r="A328" s="12"/>
      <c r="D328" s="2"/>
      <c r="F328" s="6"/>
    </row>
    <row r="329" spans="1:6">
      <c r="A329" s="12"/>
      <c r="D329" s="2"/>
      <c r="F329" s="6"/>
    </row>
    <row r="330" spans="1:6">
      <c r="A330" s="12"/>
      <c r="D330" s="2"/>
      <c r="F330" s="6"/>
    </row>
    <row r="331" spans="1:6">
      <c r="A331" s="12"/>
      <c r="D331" s="2"/>
      <c r="F331" s="6"/>
    </row>
    <row r="332" spans="1:6">
      <c r="A332" s="12"/>
      <c r="D332" s="2"/>
      <c r="F332" s="6"/>
    </row>
    <row r="333" spans="1:6">
      <c r="A333" s="12"/>
      <c r="D333" s="2"/>
      <c r="F333" s="6"/>
    </row>
    <row r="334" spans="1:6">
      <c r="A334" s="12"/>
      <c r="D334" s="2"/>
      <c r="F334" s="6"/>
    </row>
    <row r="335" spans="1:6">
      <c r="A335" s="12"/>
      <c r="D335" s="2"/>
      <c r="F335" s="6"/>
    </row>
    <row r="336" spans="1:6">
      <c r="A336" s="12"/>
      <c r="D336" s="2"/>
      <c r="F336" s="6"/>
    </row>
    <row r="337" spans="1:6">
      <c r="A337" s="12"/>
      <c r="D337" s="2"/>
      <c r="F337" s="6"/>
    </row>
    <row r="338" spans="1:6">
      <c r="A338" s="12"/>
      <c r="D338" s="2"/>
      <c r="F338" s="6"/>
    </row>
    <row r="339" spans="1:6">
      <c r="A339" s="12"/>
      <c r="D339" s="2"/>
      <c r="F339" s="6"/>
    </row>
    <row r="340" spans="1:6">
      <c r="A340" s="12"/>
      <c r="D340" s="2"/>
      <c r="F340" s="6"/>
    </row>
    <row r="341" spans="1:6">
      <c r="A341" s="12"/>
      <c r="D341" s="2"/>
      <c r="F341" s="6"/>
    </row>
    <row r="342" spans="1:6">
      <c r="A342" s="12"/>
      <c r="D342" s="2"/>
      <c r="F342" s="6"/>
    </row>
    <row r="343" spans="1:6">
      <c r="A343" s="12"/>
      <c r="D343" s="2"/>
      <c r="F343" s="6"/>
    </row>
    <row r="344" spans="1:6">
      <c r="A344" s="12"/>
      <c r="D344" s="2"/>
      <c r="F344" s="6"/>
    </row>
    <row r="345" spans="1:6">
      <c r="A345" s="12"/>
      <c r="D345" s="2"/>
      <c r="F345" s="6"/>
    </row>
    <row r="346" spans="1:6">
      <c r="A346" s="12"/>
      <c r="D346" s="2"/>
      <c r="F346" s="6"/>
    </row>
    <row r="347" spans="1:6">
      <c r="A347" s="12"/>
      <c r="D347" s="2"/>
      <c r="F347" s="6"/>
    </row>
    <row r="348" spans="1:6">
      <c r="A348" s="12"/>
      <c r="D348" s="2"/>
      <c r="F348" s="6"/>
    </row>
    <row r="349" spans="1:6">
      <c r="A349" s="12"/>
      <c r="D349" s="2"/>
      <c r="F349" s="6"/>
    </row>
    <row r="350" spans="1:6">
      <c r="A350" s="12"/>
      <c r="D350" s="2"/>
      <c r="F350" s="6"/>
    </row>
    <row r="351" spans="1:6">
      <c r="A351" s="12"/>
      <c r="D351" s="2"/>
      <c r="F351" s="6"/>
    </row>
    <row r="352" spans="1:6">
      <c r="A352" s="12"/>
      <c r="D352" s="2"/>
      <c r="F352" s="6"/>
    </row>
    <row r="353" spans="1:6">
      <c r="A353" s="12"/>
      <c r="D353" s="2"/>
      <c r="F353" s="6"/>
    </row>
    <row r="354" spans="1:6">
      <c r="A354" s="12"/>
      <c r="D354" s="2"/>
      <c r="F354" s="6"/>
    </row>
    <row r="355" spans="1:6">
      <c r="A355" s="12"/>
      <c r="D355" s="2"/>
      <c r="F355" s="6"/>
    </row>
    <row r="356" spans="1:6">
      <c r="A356" s="12"/>
      <c r="D356" s="2"/>
      <c r="F356" s="6"/>
    </row>
    <row r="357" spans="1:6">
      <c r="A357" s="12"/>
      <c r="D357" s="2"/>
      <c r="F357" s="6"/>
    </row>
    <row r="358" spans="1:6">
      <c r="A358" s="12"/>
      <c r="D358" s="2"/>
      <c r="F358" s="6"/>
    </row>
    <row r="359" spans="1:6">
      <c r="A359" s="12"/>
      <c r="D359" s="2"/>
      <c r="F359" s="6"/>
    </row>
    <row r="360" spans="1:6">
      <c r="A360" s="12"/>
      <c r="D360" s="2"/>
      <c r="F360" s="6"/>
    </row>
    <row r="361" spans="1:6">
      <c r="A361" s="12"/>
      <c r="D361" s="2"/>
      <c r="F361" s="6"/>
    </row>
    <row r="362" spans="1:6">
      <c r="A362" s="12"/>
      <c r="D362" s="2"/>
      <c r="F362" s="6"/>
    </row>
    <row r="363" spans="1:6">
      <c r="A363" s="12"/>
      <c r="D363" s="2"/>
      <c r="F363" s="6"/>
    </row>
    <row r="364" spans="1:6">
      <c r="A364" s="12"/>
      <c r="D364" s="2"/>
      <c r="F364" s="6"/>
    </row>
    <row r="365" spans="1:6">
      <c r="A365" s="12"/>
      <c r="D365" s="2"/>
      <c r="F365" s="6"/>
    </row>
    <row r="366" spans="1:6">
      <c r="A366" s="12"/>
      <c r="D366" s="2"/>
      <c r="F366" s="6"/>
    </row>
    <row r="367" spans="1:6">
      <c r="A367" s="12"/>
      <c r="D367" s="2"/>
      <c r="F367" s="6"/>
    </row>
    <row r="368" spans="1:6">
      <c r="A368" s="12"/>
      <c r="D368" s="2"/>
      <c r="F368" s="6"/>
    </row>
    <row r="369" spans="1:6">
      <c r="A369" s="12"/>
      <c r="D369" s="2"/>
      <c r="F369" s="6"/>
    </row>
    <row r="370" spans="1:6">
      <c r="A370" s="12"/>
      <c r="D370" s="2"/>
      <c r="F370" s="6"/>
    </row>
    <row r="371" spans="1:6">
      <c r="A371" s="12"/>
      <c r="D371" s="2"/>
      <c r="F371" s="6"/>
    </row>
    <row r="372" spans="1:6">
      <c r="A372" s="12"/>
      <c r="D372" s="2"/>
      <c r="F372" s="6"/>
    </row>
    <row r="373" spans="1:6">
      <c r="A373" s="12"/>
      <c r="D373" s="2"/>
      <c r="F373" s="6"/>
    </row>
    <row r="374" spans="1:6">
      <c r="A374" s="12"/>
      <c r="D374" s="2"/>
      <c r="F374" s="6"/>
    </row>
    <row r="375" spans="1:6">
      <c r="A375" s="12"/>
      <c r="D375" s="2"/>
      <c r="F375" s="6"/>
    </row>
    <row r="376" spans="1:6">
      <c r="A376" s="12"/>
      <c r="D376" s="2"/>
      <c r="F376" s="6"/>
    </row>
    <row r="377" spans="1:6">
      <c r="A377" s="12"/>
      <c r="D377" s="2"/>
      <c r="F377" s="6"/>
    </row>
    <row r="378" spans="1:6">
      <c r="A378" s="12"/>
      <c r="D378" s="2"/>
      <c r="F378" s="6"/>
    </row>
    <row r="379" spans="1:6">
      <c r="A379" s="12"/>
      <c r="D379" s="2"/>
      <c r="F379" s="6"/>
    </row>
    <row r="380" spans="1:6">
      <c r="A380" s="12"/>
      <c r="D380" s="2"/>
      <c r="F380" s="6"/>
    </row>
    <row r="381" spans="1:6">
      <c r="A381" s="12"/>
      <c r="D381" s="2"/>
      <c r="F381" s="6"/>
    </row>
    <row r="382" spans="1:6">
      <c r="A382" s="12"/>
      <c r="D382" s="2"/>
      <c r="F382" s="6"/>
    </row>
    <row r="383" spans="1:6">
      <c r="A383" s="12"/>
      <c r="D383" s="2"/>
      <c r="F383" s="6"/>
    </row>
    <row r="384" spans="1:6">
      <c r="A384" s="12"/>
      <c r="D384" s="2"/>
      <c r="F384" s="6"/>
    </row>
    <row r="385" spans="1:6">
      <c r="A385" s="12"/>
      <c r="D385" s="2"/>
      <c r="F385" s="6"/>
    </row>
    <row r="386" spans="1:6">
      <c r="A386" s="12"/>
      <c r="D386" s="2"/>
      <c r="F386" s="6"/>
    </row>
    <row r="387" spans="1:6">
      <c r="A387" s="12"/>
      <c r="D387" s="2"/>
      <c r="F387" s="6"/>
    </row>
    <row r="388" spans="1:6">
      <c r="A388" s="12"/>
      <c r="D388" s="2"/>
      <c r="F388" s="6"/>
    </row>
    <row r="389" spans="1:6">
      <c r="A389" s="12"/>
      <c r="D389" s="2"/>
      <c r="F389" s="6"/>
    </row>
    <row r="390" spans="1:6">
      <c r="A390" s="12"/>
      <c r="D390" s="2"/>
      <c r="F390" s="6"/>
    </row>
    <row r="391" spans="1:6">
      <c r="A391" s="12"/>
      <c r="D391" s="2"/>
      <c r="F391" s="6"/>
    </row>
    <row r="392" spans="1:6">
      <c r="A392" s="12"/>
      <c r="D392" s="2"/>
      <c r="F392" s="6"/>
    </row>
    <row r="393" spans="1:6">
      <c r="A393" s="12"/>
      <c r="D393" s="2"/>
      <c r="F393" s="6"/>
    </row>
    <row r="394" spans="1:6">
      <c r="A394" s="12"/>
      <c r="D394" s="2"/>
      <c r="F394" s="6"/>
    </row>
    <row r="395" spans="1:6">
      <c r="A395" s="12"/>
      <c r="D395" s="2"/>
      <c r="F395" s="6"/>
    </row>
    <row r="396" spans="1:6">
      <c r="A396" s="12"/>
      <c r="D396" s="2"/>
      <c r="F396" s="6"/>
    </row>
    <row r="397" spans="1:6">
      <c r="A397" s="12"/>
      <c r="D397" s="2"/>
      <c r="F397" s="6"/>
    </row>
    <row r="398" spans="1:6">
      <c r="A398" s="12"/>
      <c r="D398" s="2"/>
      <c r="F398" s="6"/>
    </row>
    <row r="399" spans="1:6">
      <c r="A399" s="12"/>
      <c r="D399" s="2"/>
      <c r="F399" s="6"/>
    </row>
    <row r="400" spans="1:6">
      <c r="A400" s="12"/>
      <c r="D400" s="2"/>
      <c r="F400" s="6"/>
    </row>
    <row r="401" spans="1:6">
      <c r="A401" s="12"/>
      <c r="D401" s="2"/>
      <c r="F401" s="6"/>
    </row>
    <row r="402" spans="1:6">
      <c r="A402" s="12"/>
      <c r="D402" s="2"/>
      <c r="F402" s="6"/>
    </row>
    <row r="403" spans="1:6">
      <c r="A403" s="12"/>
      <c r="D403" s="2"/>
      <c r="F403" s="6"/>
    </row>
    <row r="404" spans="1:6">
      <c r="A404" s="12"/>
      <c r="D404" s="2"/>
      <c r="F404" s="6"/>
    </row>
    <row r="405" spans="1:6">
      <c r="A405" s="12"/>
      <c r="D405" s="2"/>
      <c r="F405" s="6"/>
    </row>
    <row r="406" spans="1:6">
      <c r="A406" s="12"/>
      <c r="D406" s="2"/>
      <c r="F406" s="6"/>
    </row>
    <row r="407" spans="1:6">
      <c r="A407" s="12"/>
      <c r="D407" s="2"/>
      <c r="F407" s="6"/>
    </row>
    <row r="408" spans="1:6">
      <c r="A408" s="12"/>
      <c r="D408" s="2"/>
      <c r="F408" s="6"/>
    </row>
    <row r="409" spans="1:6">
      <c r="A409" s="12"/>
      <c r="D409" s="2"/>
      <c r="F409" s="6"/>
    </row>
    <row r="410" spans="1:6">
      <c r="A410" s="12"/>
      <c r="D410" s="2"/>
      <c r="F410" s="6"/>
    </row>
    <row r="411" spans="1:6">
      <c r="A411" s="12"/>
      <c r="D411" s="2"/>
      <c r="F411" s="6"/>
    </row>
    <row r="412" spans="1:6">
      <c r="A412" s="12"/>
      <c r="D412" s="2"/>
      <c r="F412" s="6"/>
    </row>
    <row r="413" spans="1:6">
      <c r="A413" s="12"/>
      <c r="D413" s="2"/>
      <c r="F413" s="6"/>
    </row>
    <row r="414" spans="1:6">
      <c r="A414" s="12"/>
      <c r="D414" s="2"/>
      <c r="F414" s="6"/>
    </row>
    <row r="415" spans="1:6">
      <c r="A415" s="12"/>
      <c r="D415" s="2"/>
      <c r="F415" s="6"/>
    </row>
    <row r="416" spans="1:6">
      <c r="A416" s="12"/>
      <c r="D416" s="2"/>
      <c r="F416" s="6"/>
    </row>
    <row r="417" spans="1:6">
      <c r="A417" s="12"/>
      <c r="D417" s="2"/>
      <c r="F417" s="6"/>
    </row>
    <row r="418" spans="1:6">
      <c r="A418" s="12"/>
      <c r="D418" s="2"/>
      <c r="F418" s="6"/>
    </row>
    <row r="419" spans="1:6">
      <c r="A419" s="12"/>
      <c r="D419" s="2"/>
      <c r="F419" s="6"/>
    </row>
    <row r="420" spans="1:6">
      <c r="A420" s="12"/>
      <c r="D420" s="2"/>
      <c r="F420" s="6"/>
    </row>
    <row r="421" spans="1:6">
      <c r="A421" s="12"/>
      <c r="D421" s="2"/>
      <c r="F421" s="6"/>
    </row>
    <row r="422" spans="1:6">
      <c r="A422" s="12"/>
      <c r="D422" s="2"/>
      <c r="F422" s="6"/>
    </row>
    <row r="423" spans="1:6">
      <c r="A423" s="12"/>
      <c r="D423" s="2"/>
      <c r="F423" s="6"/>
    </row>
    <row r="424" spans="1:6">
      <c r="A424" s="12"/>
      <c r="D424" s="2"/>
      <c r="F424" s="6"/>
    </row>
    <row r="425" spans="1:6">
      <c r="A425" s="12"/>
      <c r="D425" s="2"/>
      <c r="F425" s="6"/>
    </row>
    <row r="426" spans="1:6">
      <c r="A426" s="12"/>
      <c r="D426" s="2"/>
      <c r="F426" s="6"/>
    </row>
    <row r="427" spans="1:6">
      <c r="A427" s="12"/>
      <c r="D427" s="2"/>
      <c r="F427" s="6"/>
    </row>
    <row r="428" spans="1:6">
      <c r="A428" s="12"/>
      <c r="D428" s="2"/>
      <c r="F428" s="6"/>
    </row>
    <row r="429" spans="1:6">
      <c r="A429" s="12"/>
      <c r="D429" s="2"/>
      <c r="F429" s="6"/>
    </row>
    <row r="430" spans="1:6">
      <c r="A430" s="12"/>
      <c r="D430" s="2"/>
      <c r="F430" s="6"/>
    </row>
    <row r="431" spans="1:6">
      <c r="A431" s="12"/>
      <c r="D431" s="2"/>
      <c r="F431" s="6"/>
    </row>
    <row r="432" spans="1:6">
      <c r="A432" s="12"/>
      <c r="D432" s="2"/>
      <c r="F432" s="6"/>
    </row>
    <row r="433" spans="1:6">
      <c r="A433" s="12"/>
      <c r="D433" s="2"/>
      <c r="F433" s="6"/>
    </row>
    <row r="434" spans="1:6">
      <c r="A434" s="12"/>
      <c r="D434" s="2"/>
      <c r="F434" s="6"/>
    </row>
    <row r="435" spans="1:6">
      <c r="A435" s="12"/>
      <c r="D435" s="2"/>
      <c r="F435" s="6"/>
    </row>
    <row r="436" spans="1:6">
      <c r="A436" s="12"/>
      <c r="D436" s="2"/>
      <c r="F436" s="6"/>
    </row>
    <row r="437" spans="1:6">
      <c r="A437" s="12"/>
      <c r="D437" s="2"/>
      <c r="F437" s="6"/>
    </row>
    <row r="438" spans="1:6">
      <c r="A438" s="12"/>
      <c r="D438" s="2"/>
      <c r="F438" s="6"/>
    </row>
    <row r="439" spans="1:6">
      <c r="A439" s="12"/>
      <c r="D439" s="2"/>
      <c r="F439" s="6"/>
    </row>
    <row r="440" spans="1:6">
      <c r="A440" s="12"/>
      <c r="D440" s="2"/>
      <c r="F440" s="6"/>
    </row>
    <row r="441" spans="1:6">
      <c r="A441" s="12"/>
      <c r="D441" s="2"/>
      <c r="F441" s="6"/>
    </row>
    <row r="442" spans="1:6">
      <c r="A442" s="12"/>
      <c r="D442" s="2"/>
      <c r="F442" s="6"/>
    </row>
    <row r="443" spans="1:6">
      <c r="A443" s="12"/>
      <c r="D443" s="2"/>
      <c r="F443" s="6"/>
    </row>
    <row r="444" spans="1:6">
      <c r="A444" s="12"/>
      <c r="D444" s="2"/>
      <c r="F444" s="6"/>
    </row>
    <row r="445" spans="1:6">
      <c r="A445" s="12"/>
      <c r="D445" s="2"/>
      <c r="F445" s="6"/>
    </row>
    <row r="446" spans="1:6">
      <c r="A446" s="12"/>
      <c r="D446" s="2"/>
      <c r="F446" s="6"/>
    </row>
    <row r="447" spans="1:6">
      <c r="A447" s="12"/>
      <c r="D447" s="2"/>
      <c r="F447" s="6"/>
    </row>
    <row r="448" spans="1:6">
      <c r="A448" s="12"/>
      <c r="D448" s="2"/>
      <c r="F448" s="6"/>
    </row>
    <row r="449" spans="1:6">
      <c r="A449" s="12"/>
      <c r="D449" s="2"/>
      <c r="F449" s="6"/>
    </row>
    <row r="450" spans="1:6">
      <c r="A450" s="12"/>
      <c r="D450" s="2"/>
      <c r="F450" s="6"/>
    </row>
    <row r="451" spans="1:6">
      <c r="A451" s="12"/>
      <c r="D451" s="2"/>
      <c r="F451" s="6"/>
    </row>
    <row r="452" spans="1:6">
      <c r="A452" s="12"/>
      <c r="D452" s="2"/>
      <c r="F452" s="6"/>
    </row>
    <row r="453" spans="1:6">
      <c r="A453" s="12"/>
      <c r="D453" s="2"/>
      <c r="F453" s="6"/>
    </row>
    <row r="454" spans="1:6">
      <c r="A454" s="12"/>
      <c r="D454" s="2"/>
      <c r="F454" s="6"/>
    </row>
    <row r="455" spans="1:6">
      <c r="A455" s="12"/>
      <c r="D455" s="2"/>
      <c r="F455" s="6"/>
    </row>
    <row r="456" spans="1:6">
      <c r="A456" s="12"/>
      <c r="D456" s="2"/>
      <c r="F456" s="6"/>
    </row>
    <row r="457" spans="1:6">
      <c r="A457" s="12"/>
      <c r="D457" s="2"/>
      <c r="F457" s="6"/>
    </row>
    <row r="458" spans="1:6">
      <c r="A458" s="12"/>
      <c r="D458" s="2"/>
      <c r="F458" s="6"/>
    </row>
    <row r="459" spans="1:6">
      <c r="A459" s="12"/>
      <c r="D459" s="2"/>
      <c r="F459" s="6"/>
    </row>
    <row r="460" spans="1:6">
      <c r="A460" s="12"/>
      <c r="D460" s="2"/>
      <c r="F460" s="6"/>
    </row>
    <row r="461" spans="1:6">
      <c r="A461" s="12"/>
      <c r="D461" s="2"/>
      <c r="F461" s="6"/>
    </row>
    <row r="462" spans="1:6">
      <c r="A462" s="12"/>
      <c r="D462" s="2"/>
      <c r="F462" s="6"/>
    </row>
    <row r="463" spans="1:6">
      <c r="A463" s="12"/>
      <c r="D463" s="2"/>
      <c r="F463" s="6"/>
    </row>
    <row r="464" spans="1:6">
      <c r="A464" s="12"/>
      <c r="D464" s="2"/>
      <c r="F464" s="6"/>
    </row>
    <row r="465" spans="1:6">
      <c r="A465" s="12"/>
      <c r="D465" s="2"/>
      <c r="F465" s="6"/>
    </row>
    <row r="466" spans="1:6">
      <c r="A466" s="12"/>
      <c r="D466" s="2"/>
      <c r="F466" s="6"/>
    </row>
    <row r="467" spans="1:6">
      <c r="A467" s="12"/>
      <c r="D467" s="2"/>
      <c r="F467" s="6"/>
    </row>
    <row r="468" spans="1:6">
      <c r="A468" s="12"/>
      <c r="D468" s="2"/>
      <c r="F468" s="6"/>
    </row>
    <row r="469" spans="1:6">
      <c r="A469" s="12"/>
      <c r="D469" s="2"/>
      <c r="F469" s="6"/>
    </row>
    <row r="470" spans="1:6">
      <c r="A470" s="12"/>
      <c r="D470" s="2"/>
      <c r="F470" s="6"/>
    </row>
    <row r="471" spans="1:6">
      <c r="A471" s="12"/>
      <c r="D471" s="2"/>
      <c r="F471" s="6"/>
    </row>
    <row r="472" spans="1:6">
      <c r="A472" s="12"/>
      <c r="D472" s="2"/>
      <c r="F472" s="6"/>
    </row>
    <row r="473" spans="1:6">
      <c r="A473" s="12"/>
      <c r="D473" s="2"/>
      <c r="F473" s="6"/>
    </row>
    <row r="474" spans="1:6">
      <c r="A474" s="12"/>
      <c r="D474" s="2"/>
      <c r="F474" s="6"/>
    </row>
    <row r="475" spans="1:6">
      <c r="A475" s="12"/>
      <c r="D475" s="2"/>
      <c r="F475" s="6"/>
    </row>
    <row r="476" spans="1:6">
      <c r="A476" s="12"/>
      <c r="D476" s="2"/>
      <c r="F476" s="6"/>
    </row>
    <row r="477" spans="1:6">
      <c r="A477" s="12"/>
      <c r="D477" s="2"/>
      <c r="F477" s="6"/>
    </row>
    <row r="478" spans="1:6">
      <c r="A478" s="12"/>
      <c r="D478" s="2"/>
      <c r="F478" s="6"/>
    </row>
    <row r="479" spans="1:6">
      <c r="A479" s="12"/>
      <c r="D479" s="2"/>
      <c r="F479" s="6"/>
    </row>
    <row r="480" spans="1:6">
      <c r="A480" s="12"/>
      <c r="D480" s="2"/>
      <c r="F480" s="6"/>
    </row>
    <row r="481" spans="1:6">
      <c r="A481" s="12"/>
      <c r="D481" s="2"/>
      <c r="F481" s="6"/>
    </row>
    <row r="482" spans="1:6">
      <c r="A482" s="12"/>
      <c r="D482" s="2"/>
      <c r="F482" s="6"/>
    </row>
    <row r="483" spans="1:6">
      <c r="A483" s="12"/>
      <c r="D483" s="2"/>
      <c r="F483" s="6"/>
    </row>
    <row r="484" spans="1:6">
      <c r="A484" s="12"/>
      <c r="D484" s="2"/>
      <c r="F484" s="6"/>
    </row>
    <row r="485" spans="1:6">
      <c r="A485" s="12"/>
      <c r="D485" s="2"/>
      <c r="F485" s="6"/>
    </row>
    <row r="486" spans="1:6">
      <c r="A486" s="12"/>
      <c r="D486" s="2"/>
      <c r="F486" s="6"/>
    </row>
    <row r="487" spans="1:6">
      <c r="A487" s="12"/>
      <c r="D487" s="2"/>
      <c r="F487" s="6"/>
    </row>
    <row r="488" spans="1:6">
      <c r="A488" s="12"/>
      <c r="D488" s="2"/>
      <c r="F488" s="6"/>
    </row>
    <row r="489" spans="1:6">
      <c r="A489" s="12"/>
      <c r="D489" s="2"/>
      <c r="F489" s="6"/>
    </row>
    <row r="490" spans="1:6">
      <c r="A490" s="12"/>
      <c r="D490" s="2"/>
      <c r="F490" s="6"/>
    </row>
    <row r="491" spans="1:6">
      <c r="A491" s="12"/>
      <c r="D491" s="2"/>
      <c r="F491" s="6"/>
    </row>
    <row r="492" spans="1:6">
      <c r="A492" s="12"/>
      <c r="D492" s="2"/>
      <c r="F492" s="6"/>
    </row>
    <row r="493" spans="1:6">
      <c r="A493" s="12"/>
      <c r="D493" s="2"/>
      <c r="F493" s="6"/>
    </row>
    <row r="494" spans="1:6">
      <c r="A494" s="12"/>
      <c r="D494" s="2"/>
      <c r="F494" s="6"/>
    </row>
    <row r="495" spans="1:6">
      <c r="A495" s="12"/>
      <c r="D495" s="2"/>
      <c r="F495" s="6"/>
    </row>
    <row r="496" spans="1:6">
      <c r="A496" s="12"/>
      <c r="D496" s="2"/>
      <c r="F496" s="6"/>
    </row>
    <row r="497" spans="1:6">
      <c r="A497" s="12"/>
      <c r="D497" s="2"/>
      <c r="F497" s="6"/>
    </row>
    <row r="498" spans="1:6">
      <c r="A498" s="12"/>
      <c r="D498" s="2"/>
      <c r="F498" s="6"/>
    </row>
    <row r="499" spans="1:6">
      <c r="A499" s="12"/>
      <c r="D499" s="2"/>
      <c r="F499" s="6"/>
    </row>
    <row r="500" spans="1:6">
      <c r="A500" s="12"/>
      <c r="B500" s="6"/>
      <c r="C500" s="6"/>
      <c r="D500" s="13"/>
      <c r="E500" s="6"/>
      <c r="F500" s="6"/>
    </row>
  </sheetData>
  <mergeCells count="1">
    <mergeCell ref="A1:F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Lists!$A$2:$A$100</xm:f>
          </x14:formula1>
          <xm:sqref>C4:C500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0"/>
  <sheetViews>
    <sheetView topLeftCell="A45" workbookViewId="0">
      <selection sqref="A1:F1"/>
    </sheetView>
  </sheetViews>
  <sheetFormatPr defaultRowHeight="14.25"/>
  <cols>
    <col min="1" max="1" width="13" customWidth="1"/>
    <col min="2" max="2" width="15" customWidth="1"/>
    <col min="3" max="3" width="25" customWidth="1"/>
    <col min="4" max="4" width="12" customWidth="1"/>
    <col min="5" max="6" width="18" customWidth="1"/>
  </cols>
  <sheetData>
    <row r="1" spans="1:6" ht="27.95" customHeight="1">
      <c r="A1" s="60" t="s">
        <v>153</v>
      </c>
      <c r="B1" s="60"/>
      <c r="C1" s="60"/>
      <c r="D1" s="60"/>
      <c r="E1" s="60"/>
      <c r="F1" s="60"/>
    </row>
    <row r="3" spans="1:6" ht="15">
      <c r="A3" s="14" t="s">
        <v>147</v>
      </c>
      <c r="B3" s="14" t="s">
        <v>154</v>
      </c>
      <c r="C3" s="14" t="s">
        <v>149</v>
      </c>
      <c r="D3" s="14" t="s">
        <v>150</v>
      </c>
      <c r="E3" s="14" t="s">
        <v>155</v>
      </c>
      <c r="F3" s="14" t="s">
        <v>152</v>
      </c>
    </row>
    <row r="4" spans="1:6">
      <c r="A4" s="12"/>
      <c r="D4" s="2"/>
      <c r="F4" s="6"/>
    </row>
    <row r="5" spans="1:6">
      <c r="A5" s="12"/>
      <c r="D5" s="2"/>
      <c r="F5" s="6"/>
    </row>
    <row r="6" spans="1:6">
      <c r="A6" s="12"/>
      <c r="D6" s="2"/>
      <c r="F6" s="6"/>
    </row>
    <row r="7" spans="1:6">
      <c r="A7" s="12"/>
      <c r="D7" s="2"/>
      <c r="F7" s="6"/>
    </row>
    <row r="8" spans="1:6">
      <c r="A8" s="12"/>
      <c r="D8" s="2"/>
      <c r="F8" s="6"/>
    </row>
    <row r="9" spans="1:6">
      <c r="A9" s="12"/>
      <c r="D9" s="2"/>
      <c r="F9" s="6"/>
    </row>
    <row r="10" spans="1:6">
      <c r="A10" s="12"/>
      <c r="D10" s="2"/>
      <c r="F10" s="6"/>
    </row>
    <row r="11" spans="1:6">
      <c r="A11" s="12"/>
      <c r="D11" s="2"/>
      <c r="F11" s="6"/>
    </row>
    <row r="12" spans="1:6">
      <c r="A12" s="12"/>
      <c r="D12" s="2"/>
      <c r="F12" s="6"/>
    </row>
    <row r="13" spans="1:6">
      <c r="A13" s="12"/>
      <c r="D13" s="2"/>
      <c r="F13" s="6"/>
    </row>
    <row r="14" spans="1:6">
      <c r="A14" s="12"/>
      <c r="D14" s="2"/>
      <c r="F14" s="6"/>
    </row>
    <row r="15" spans="1:6">
      <c r="A15" s="12"/>
      <c r="D15" s="2"/>
      <c r="F15" s="6"/>
    </row>
    <row r="16" spans="1:6">
      <c r="A16" s="12"/>
      <c r="D16" s="2"/>
      <c r="F16" s="6"/>
    </row>
    <row r="17" spans="1:6">
      <c r="A17" s="12"/>
      <c r="D17" s="2"/>
      <c r="F17" s="6"/>
    </row>
    <row r="18" spans="1:6">
      <c r="A18" s="12"/>
      <c r="D18" s="2"/>
      <c r="F18" s="6"/>
    </row>
    <row r="19" spans="1:6">
      <c r="A19" s="12"/>
      <c r="D19" s="2"/>
      <c r="F19" s="6"/>
    </row>
    <row r="20" spans="1:6">
      <c r="A20" s="12"/>
      <c r="D20" s="2"/>
      <c r="F20" s="6"/>
    </row>
    <row r="21" spans="1:6">
      <c r="A21" s="12"/>
      <c r="D21" s="2"/>
      <c r="F21" s="6"/>
    </row>
    <row r="22" spans="1:6">
      <c r="A22" s="12"/>
      <c r="D22" s="2"/>
      <c r="F22" s="6"/>
    </row>
    <row r="23" spans="1:6">
      <c r="A23" s="12"/>
      <c r="D23" s="2"/>
      <c r="F23" s="6"/>
    </row>
    <row r="24" spans="1:6">
      <c r="A24" s="12"/>
      <c r="D24" s="2"/>
      <c r="F24" s="6"/>
    </row>
    <row r="25" spans="1:6">
      <c r="A25" s="12"/>
      <c r="D25" s="2"/>
      <c r="F25" s="6"/>
    </row>
    <row r="26" spans="1:6">
      <c r="A26" s="12"/>
      <c r="D26" s="2"/>
      <c r="F26" s="6"/>
    </row>
    <row r="27" spans="1:6">
      <c r="A27" s="12"/>
      <c r="D27" s="2"/>
      <c r="F27" s="6"/>
    </row>
    <row r="28" spans="1:6">
      <c r="A28" s="12"/>
      <c r="D28" s="2"/>
      <c r="F28" s="6"/>
    </row>
    <row r="29" spans="1:6">
      <c r="A29" s="12"/>
      <c r="D29" s="2"/>
      <c r="F29" s="6"/>
    </row>
    <row r="30" spans="1:6">
      <c r="A30" s="12"/>
      <c r="D30" s="2"/>
      <c r="F30" s="6"/>
    </row>
    <row r="31" spans="1:6">
      <c r="A31" s="12"/>
      <c r="D31" s="2"/>
      <c r="F31" s="6"/>
    </row>
    <row r="32" spans="1:6">
      <c r="A32" s="12"/>
      <c r="D32" s="2"/>
      <c r="F32" s="6"/>
    </row>
    <row r="33" spans="1:6">
      <c r="A33" s="12"/>
      <c r="D33" s="2"/>
      <c r="F33" s="6"/>
    </row>
    <row r="34" spans="1:6">
      <c r="A34" s="12"/>
      <c r="D34" s="2"/>
      <c r="F34" s="6"/>
    </row>
    <row r="35" spans="1:6">
      <c r="A35" s="12"/>
      <c r="D35" s="2"/>
      <c r="F35" s="6"/>
    </row>
    <row r="36" spans="1:6">
      <c r="A36" s="12"/>
      <c r="D36" s="2"/>
      <c r="F36" s="6"/>
    </row>
    <row r="37" spans="1:6">
      <c r="A37" s="12"/>
      <c r="D37" s="2"/>
      <c r="F37" s="6"/>
    </row>
    <row r="38" spans="1:6">
      <c r="A38" s="12"/>
      <c r="D38" s="2"/>
      <c r="F38" s="6"/>
    </row>
    <row r="39" spans="1:6">
      <c r="A39" s="12"/>
      <c r="D39" s="2"/>
      <c r="F39" s="6"/>
    </row>
    <row r="40" spans="1:6">
      <c r="A40" s="12"/>
      <c r="D40" s="2"/>
      <c r="F40" s="6"/>
    </row>
    <row r="41" spans="1:6">
      <c r="A41" s="12"/>
      <c r="D41" s="2"/>
      <c r="F41" s="6"/>
    </row>
    <row r="42" spans="1:6">
      <c r="A42" s="12"/>
      <c r="D42" s="2"/>
      <c r="F42" s="6"/>
    </row>
    <row r="43" spans="1:6">
      <c r="A43" s="12"/>
      <c r="D43" s="2"/>
      <c r="F43" s="6"/>
    </row>
    <row r="44" spans="1:6">
      <c r="A44" s="12"/>
      <c r="D44" s="2"/>
      <c r="F44" s="6"/>
    </row>
    <row r="45" spans="1:6">
      <c r="A45" s="12"/>
      <c r="D45" s="2"/>
      <c r="F45" s="6"/>
    </row>
    <row r="46" spans="1:6">
      <c r="A46" s="12"/>
      <c r="D46" s="2"/>
      <c r="F46" s="6"/>
    </row>
    <row r="47" spans="1:6">
      <c r="A47" s="12"/>
      <c r="D47" s="2"/>
      <c r="F47" s="6"/>
    </row>
    <row r="48" spans="1:6">
      <c r="A48" s="12"/>
      <c r="D48" s="2"/>
      <c r="F48" s="6"/>
    </row>
    <row r="49" spans="1:6">
      <c r="A49" s="12"/>
      <c r="D49" s="2"/>
      <c r="F49" s="6"/>
    </row>
    <row r="50" spans="1:6">
      <c r="A50" s="12"/>
      <c r="D50" s="2"/>
      <c r="F50" s="6"/>
    </row>
    <row r="51" spans="1:6">
      <c r="A51" s="12"/>
      <c r="D51" s="2"/>
      <c r="F51" s="6"/>
    </row>
    <row r="52" spans="1:6">
      <c r="A52" s="12"/>
      <c r="D52" s="2"/>
      <c r="F52" s="6"/>
    </row>
    <row r="53" spans="1:6">
      <c r="A53" s="12"/>
      <c r="D53" s="2"/>
      <c r="F53" s="6"/>
    </row>
    <row r="54" spans="1:6">
      <c r="A54" s="12"/>
      <c r="D54" s="2"/>
      <c r="F54" s="6"/>
    </row>
    <row r="55" spans="1:6">
      <c r="A55" s="12"/>
      <c r="D55" s="2"/>
      <c r="F55" s="6"/>
    </row>
    <row r="56" spans="1:6">
      <c r="A56" s="12"/>
      <c r="D56" s="2"/>
      <c r="F56" s="6"/>
    </row>
    <row r="57" spans="1:6">
      <c r="A57" s="12"/>
      <c r="D57" s="2"/>
      <c r="F57" s="6"/>
    </row>
    <row r="58" spans="1:6">
      <c r="A58" s="12"/>
      <c r="D58" s="2"/>
      <c r="F58" s="6"/>
    </row>
    <row r="59" spans="1:6">
      <c r="A59" s="12"/>
      <c r="D59" s="2"/>
      <c r="F59" s="6"/>
    </row>
    <row r="60" spans="1:6">
      <c r="A60" s="12"/>
      <c r="D60" s="2"/>
      <c r="F60" s="6"/>
    </row>
    <row r="61" spans="1:6">
      <c r="A61" s="12"/>
      <c r="D61" s="2"/>
      <c r="F61" s="6"/>
    </row>
    <row r="62" spans="1:6">
      <c r="A62" s="12"/>
      <c r="D62" s="2"/>
      <c r="F62" s="6"/>
    </row>
    <row r="63" spans="1:6">
      <c r="A63" s="12"/>
      <c r="D63" s="2"/>
      <c r="F63" s="6"/>
    </row>
    <row r="64" spans="1:6">
      <c r="A64" s="12"/>
      <c r="D64" s="2"/>
      <c r="F64" s="6"/>
    </row>
    <row r="65" spans="1:6">
      <c r="A65" s="12"/>
      <c r="D65" s="2"/>
      <c r="F65" s="6"/>
    </row>
    <row r="66" spans="1:6">
      <c r="A66" s="12"/>
      <c r="D66" s="2"/>
      <c r="F66" s="6"/>
    </row>
    <row r="67" spans="1:6">
      <c r="A67" s="12"/>
      <c r="D67" s="2"/>
      <c r="F67" s="6"/>
    </row>
    <row r="68" spans="1:6">
      <c r="A68" s="12"/>
      <c r="D68" s="2"/>
      <c r="F68" s="6"/>
    </row>
    <row r="69" spans="1:6">
      <c r="A69" s="12"/>
      <c r="D69" s="2"/>
      <c r="F69" s="6"/>
    </row>
    <row r="70" spans="1:6">
      <c r="A70" s="12"/>
      <c r="D70" s="2"/>
      <c r="F70" s="6"/>
    </row>
    <row r="71" spans="1:6">
      <c r="A71" s="12"/>
      <c r="D71" s="2"/>
      <c r="F71" s="6"/>
    </row>
    <row r="72" spans="1:6">
      <c r="A72" s="12"/>
      <c r="D72" s="2"/>
      <c r="F72" s="6"/>
    </row>
    <row r="73" spans="1:6">
      <c r="A73" s="12"/>
      <c r="D73" s="2"/>
      <c r="F73" s="6"/>
    </row>
    <row r="74" spans="1:6">
      <c r="A74" s="12"/>
      <c r="D74" s="2"/>
      <c r="F74" s="6"/>
    </row>
    <row r="75" spans="1:6">
      <c r="A75" s="12"/>
      <c r="D75" s="2"/>
      <c r="F75" s="6"/>
    </row>
    <row r="76" spans="1:6">
      <c r="A76" s="12"/>
      <c r="D76" s="2"/>
      <c r="F76" s="6"/>
    </row>
    <row r="77" spans="1:6">
      <c r="A77" s="12"/>
      <c r="D77" s="2"/>
      <c r="F77" s="6"/>
    </row>
    <row r="78" spans="1:6">
      <c r="A78" s="12"/>
      <c r="D78" s="2"/>
      <c r="F78" s="6"/>
    </row>
    <row r="79" spans="1:6">
      <c r="A79" s="12"/>
      <c r="D79" s="2"/>
      <c r="F79" s="6"/>
    </row>
    <row r="80" spans="1:6">
      <c r="A80" s="12"/>
      <c r="D80" s="2"/>
      <c r="F80" s="6"/>
    </row>
    <row r="81" spans="1:6">
      <c r="A81" s="12"/>
      <c r="D81" s="2"/>
      <c r="F81" s="6"/>
    </row>
    <row r="82" spans="1:6">
      <c r="A82" s="12"/>
      <c r="D82" s="2"/>
      <c r="F82" s="6"/>
    </row>
    <row r="83" spans="1:6">
      <c r="A83" s="12"/>
      <c r="D83" s="2"/>
      <c r="F83" s="6"/>
    </row>
    <row r="84" spans="1:6">
      <c r="A84" s="12"/>
      <c r="D84" s="2"/>
      <c r="F84" s="6"/>
    </row>
    <row r="85" spans="1:6">
      <c r="A85" s="12"/>
      <c r="D85" s="2"/>
      <c r="F85" s="6"/>
    </row>
    <row r="86" spans="1:6">
      <c r="A86" s="12"/>
      <c r="D86" s="2"/>
      <c r="F86" s="6"/>
    </row>
    <row r="87" spans="1:6">
      <c r="A87" s="12"/>
      <c r="D87" s="2"/>
      <c r="F87" s="6"/>
    </row>
    <row r="88" spans="1:6">
      <c r="A88" s="12"/>
      <c r="D88" s="2"/>
      <c r="F88" s="6"/>
    </row>
    <row r="89" spans="1:6">
      <c r="A89" s="12"/>
      <c r="D89" s="2"/>
      <c r="F89" s="6"/>
    </row>
    <row r="90" spans="1:6">
      <c r="A90" s="12"/>
      <c r="D90" s="2"/>
      <c r="F90" s="6"/>
    </row>
    <row r="91" spans="1:6">
      <c r="A91" s="12"/>
      <c r="D91" s="2"/>
      <c r="F91" s="6"/>
    </row>
    <row r="92" spans="1:6">
      <c r="A92" s="12"/>
      <c r="D92" s="2"/>
      <c r="F92" s="6"/>
    </row>
    <row r="93" spans="1:6">
      <c r="A93" s="12"/>
      <c r="D93" s="2"/>
      <c r="F93" s="6"/>
    </row>
    <row r="94" spans="1:6">
      <c r="A94" s="12"/>
      <c r="D94" s="2"/>
      <c r="F94" s="6"/>
    </row>
    <row r="95" spans="1:6">
      <c r="A95" s="12"/>
      <c r="D95" s="2"/>
      <c r="F95" s="6"/>
    </row>
    <row r="96" spans="1:6">
      <c r="A96" s="12"/>
      <c r="D96" s="2"/>
      <c r="F96" s="6"/>
    </row>
    <row r="97" spans="1:6">
      <c r="A97" s="12"/>
      <c r="D97" s="2"/>
      <c r="F97" s="6"/>
    </row>
    <row r="98" spans="1:6">
      <c r="A98" s="12"/>
      <c r="D98" s="2"/>
      <c r="F98" s="6"/>
    </row>
    <row r="99" spans="1:6">
      <c r="A99" s="12"/>
      <c r="D99" s="2"/>
      <c r="F99" s="6"/>
    </row>
    <row r="100" spans="1:6">
      <c r="A100" s="12"/>
      <c r="D100" s="2"/>
      <c r="F100" s="6"/>
    </row>
    <row r="101" spans="1:6">
      <c r="A101" s="12"/>
      <c r="D101" s="2"/>
      <c r="F101" s="6"/>
    </row>
    <row r="102" spans="1:6">
      <c r="A102" s="12"/>
      <c r="D102" s="2"/>
      <c r="F102" s="6"/>
    </row>
    <row r="103" spans="1:6">
      <c r="A103" s="12"/>
      <c r="D103" s="2"/>
      <c r="F103" s="6"/>
    </row>
    <row r="104" spans="1:6">
      <c r="A104" s="12"/>
      <c r="D104" s="2"/>
      <c r="F104" s="6"/>
    </row>
    <row r="105" spans="1:6">
      <c r="A105" s="12"/>
      <c r="D105" s="2"/>
      <c r="F105" s="6"/>
    </row>
    <row r="106" spans="1:6">
      <c r="A106" s="12"/>
      <c r="D106" s="2"/>
      <c r="F106" s="6"/>
    </row>
    <row r="107" spans="1:6">
      <c r="A107" s="12"/>
      <c r="D107" s="2"/>
      <c r="F107" s="6"/>
    </row>
    <row r="108" spans="1:6">
      <c r="A108" s="12"/>
      <c r="D108" s="2"/>
      <c r="F108" s="6"/>
    </row>
    <row r="109" spans="1:6">
      <c r="A109" s="12"/>
      <c r="D109" s="2"/>
      <c r="F109" s="6"/>
    </row>
    <row r="110" spans="1:6">
      <c r="A110" s="12"/>
      <c r="D110" s="2"/>
      <c r="F110" s="6"/>
    </row>
    <row r="111" spans="1:6">
      <c r="A111" s="12"/>
      <c r="D111" s="2"/>
      <c r="F111" s="6"/>
    </row>
    <row r="112" spans="1:6">
      <c r="A112" s="12"/>
      <c r="D112" s="2"/>
      <c r="F112" s="6"/>
    </row>
    <row r="113" spans="1:6">
      <c r="A113" s="12"/>
      <c r="D113" s="2"/>
      <c r="F113" s="6"/>
    </row>
    <row r="114" spans="1:6">
      <c r="A114" s="12"/>
      <c r="D114" s="2"/>
      <c r="F114" s="6"/>
    </row>
    <row r="115" spans="1:6">
      <c r="A115" s="12"/>
      <c r="D115" s="2"/>
      <c r="F115" s="6"/>
    </row>
    <row r="116" spans="1:6">
      <c r="A116" s="12"/>
      <c r="D116" s="2"/>
      <c r="F116" s="6"/>
    </row>
    <row r="117" spans="1:6">
      <c r="A117" s="12"/>
      <c r="D117" s="2"/>
      <c r="F117" s="6"/>
    </row>
    <row r="118" spans="1:6">
      <c r="A118" s="12"/>
      <c r="D118" s="2"/>
      <c r="F118" s="6"/>
    </row>
    <row r="119" spans="1:6">
      <c r="A119" s="12"/>
      <c r="D119" s="2"/>
      <c r="F119" s="6"/>
    </row>
    <row r="120" spans="1:6">
      <c r="A120" s="12"/>
      <c r="D120" s="2"/>
      <c r="F120" s="6"/>
    </row>
    <row r="121" spans="1:6">
      <c r="A121" s="12"/>
      <c r="D121" s="2"/>
      <c r="F121" s="6"/>
    </row>
    <row r="122" spans="1:6">
      <c r="A122" s="12"/>
      <c r="D122" s="2"/>
      <c r="F122" s="6"/>
    </row>
    <row r="123" spans="1:6">
      <c r="A123" s="12"/>
      <c r="D123" s="2"/>
      <c r="F123" s="6"/>
    </row>
    <row r="124" spans="1:6">
      <c r="A124" s="12"/>
      <c r="D124" s="2"/>
      <c r="F124" s="6"/>
    </row>
    <row r="125" spans="1:6">
      <c r="A125" s="12"/>
      <c r="D125" s="2"/>
      <c r="F125" s="6"/>
    </row>
    <row r="126" spans="1:6">
      <c r="A126" s="12"/>
      <c r="D126" s="2"/>
      <c r="F126" s="6"/>
    </row>
    <row r="127" spans="1:6">
      <c r="A127" s="12"/>
      <c r="D127" s="2"/>
      <c r="F127" s="6"/>
    </row>
    <row r="128" spans="1:6">
      <c r="A128" s="12"/>
      <c r="D128" s="2"/>
      <c r="F128" s="6"/>
    </row>
    <row r="129" spans="1:6">
      <c r="A129" s="12"/>
      <c r="D129" s="2"/>
      <c r="F129" s="6"/>
    </row>
    <row r="130" spans="1:6">
      <c r="A130" s="12"/>
      <c r="D130" s="2"/>
      <c r="F130" s="6"/>
    </row>
    <row r="131" spans="1:6">
      <c r="A131" s="12"/>
      <c r="D131" s="2"/>
      <c r="F131" s="6"/>
    </row>
    <row r="132" spans="1:6">
      <c r="A132" s="12"/>
      <c r="D132" s="2"/>
      <c r="F132" s="6"/>
    </row>
    <row r="133" spans="1:6">
      <c r="A133" s="12"/>
      <c r="D133" s="2"/>
      <c r="F133" s="6"/>
    </row>
    <row r="134" spans="1:6">
      <c r="A134" s="12"/>
      <c r="D134" s="2"/>
      <c r="F134" s="6"/>
    </row>
    <row r="135" spans="1:6">
      <c r="A135" s="12"/>
      <c r="D135" s="2"/>
      <c r="F135" s="6"/>
    </row>
    <row r="136" spans="1:6">
      <c r="A136" s="12"/>
      <c r="D136" s="2"/>
      <c r="F136" s="6"/>
    </row>
    <row r="137" spans="1:6">
      <c r="A137" s="12"/>
      <c r="D137" s="2"/>
      <c r="F137" s="6"/>
    </row>
    <row r="138" spans="1:6">
      <c r="A138" s="12"/>
      <c r="D138" s="2"/>
      <c r="F138" s="6"/>
    </row>
    <row r="139" spans="1:6">
      <c r="A139" s="12"/>
      <c r="D139" s="2"/>
      <c r="F139" s="6"/>
    </row>
    <row r="140" spans="1:6">
      <c r="A140" s="12"/>
      <c r="D140" s="2"/>
      <c r="F140" s="6"/>
    </row>
    <row r="141" spans="1:6">
      <c r="A141" s="12"/>
      <c r="D141" s="2"/>
      <c r="F141" s="6"/>
    </row>
    <row r="142" spans="1:6">
      <c r="A142" s="12"/>
      <c r="D142" s="2"/>
      <c r="F142" s="6"/>
    </row>
    <row r="143" spans="1:6">
      <c r="A143" s="12"/>
      <c r="D143" s="2"/>
      <c r="F143" s="6"/>
    </row>
    <row r="144" spans="1:6">
      <c r="A144" s="12"/>
      <c r="D144" s="2"/>
      <c r="F144" s="6"/>
    </row>
    <row r="145" spans="1:6">
      <c r="A145" s="12"/>
      <c r="D145" s="2"/>
      <c r="F145" s="6"/>
    </row>
    <row r="146" spans="1:6">
      <c r="A146" s="12"/>
      <c r="D146" s="2"/>
      <c r="F146" s="6"/>
    </row>
    <row r="147" spans="1:6">
      <c r="A147" s="12"/>
      <c r="D147" s="2"/>
      <c r="F147" s="6"/>
    </row>
    <row r="148" spans="1:6">
      <c r="A148" s="12"/>
      <c r="D148" s="2"/>
      <c r="F148" s="6"/>
    </row>
    <row r="149" spans="1:6">
      <c r="A149" s="12"/>
      <c r="D149" s="2"/>
      <c r="F149" s="6"/>
    </row>
    <row r="150" spans="1:6">
      <c r="A150" s="12"/>
      <c r="D150" s="2"/>
      <c r="F150" s="6"/>
    </row>
    <row r="151" spans="1:6">
      <c r="A151" s="12"/>
      <c r="D151" s="2"/>
      <c r="F151" s="6"/>
    </row>
    <row r="152" spans="1:6">
      <c r="A152" s="12"/>
      <c r="D152" s="2"/>
      <c r="F152" s="6"/>
    </row>
    <row r="153" spans="1:6">
      <c r="A153" s="12"/>
      <c r="D153" s="2"/>
      <c r="F153" s="6"/>
    </row>
    <row r="154" spans="1:6">
      <c r="A154" s="12"/>
      <c r="D154" s="2"/>
      <c r="F154" s="6"/>
    </row>
    <row r="155" spans="1:6">
      <c r="A155" s="12"/>
      <c r="D155" s="2"/>
      <c r="F155" s="6"/>
    </row>
    <row r="156" spans="1:6">
      <c r="A156" s="12"/>
      <c r="D156" s="2"/>
      <c r="F156" s="6"/>
    </row>
    <row r="157" spans="1:6">
      <c r="A157" s="12"/>
      <c r="D157" s="2"/>
      <c r="F157" s="6"/>
    </row>
    <row r="158" spans="1:6">
      <c r="A158" s="12"/>
      <c r="D158" s="2"/>
      <c r="F158" s="6"/>
    </row>
    <row r="159" spans="1:6">
      <c r="A159" s="12"/>
      <c r="D159" s="2"/>
      <c r="F159" s="6"/>
    </row>
    <row r="160" spans="1:6">
      <c r="A160" s="12"/>
      <c r="D160" s="2"/>
      <c r="F160" s="6"/>
    </row>
    <row r="161" spans="1:6">
      <c r="A161" s="12"/>
      <c r="D161" s="2"/>
      <c r="F161" s="6"/>
    </row>
    <row r="162" spans="1:6">
      <c r="A162" s="12"/>
      <c r="D162" s="2"/>
      <c r="F162" s="6"/>
    </row>
    <row r="163" spans="1:6">
      <c r="A163" s="12"/>
      <c r="D163" s="2"/>
      <c r="F163" s="6"/>
    </row>
    <row r="164" spans="1:6">
      <c r="A164" s="12"/>
      <c r="D164" s="2"/>
      <c r="F164" s="6"/>
    </row>
    <row r="165" spans="1:6">
      <c r="A165" s="12"/>
      <c r="D165" s="2"/>
      <c r="F165" s="6"/>
    </row>
    <row r="166" spans="1:6">
      <c r="A166" s="12"/>
      <c r="D166" s="2"/>
      <c r="F166" s="6"/>
    </row>
    <row r="167" spans="1:6">
      <c r="A167" s="12"/>
      <c r="D167" s="2"/>
      <c r="F167" s="6"/>
    </row>
    <row r="168" spans="1:6">
      <c r="A168" s="12"/>
      <c r="D168" s="2"/>
      <c r="F168" s="6"/>
    </row>
    <row r="169" spans="1:6">
      <c r="A169" s="12"/>
      <c r="D169" s="2"/>
      <c r="F169" s="6"/>
    </row>
    <row r="170" spans="1:6">
      <c r="A170" s="12"/>
      <c r="D170" s="2"/>
      <c r="F170" s="6"/>
    </row>
    <row r="171" spans="1:6">
      <c r="A171" s="12"/>
      <c r="D171" s="2"/>
      <c r="F171" s="6"/>
    </row>
    <row r="172" spans="1:6">
      <c r="A172" s="12"/>
      <c r="D172" s="2"/>
      <c r="F172" s="6"/>
    </row>
    <row r="173" spans="1:6">
      <c r="A173" s="12"/>
      <c r="D173" s="2"/>
      <c r="F173" s="6"/>
    </row>
    <row r="174" spans="1:6">
      <c r="A174" s="12"/>
      <c r="D174" s="2"/>
      <c r="F174" s="6"/>
    </row>
    <row r="175" spans="1:6">
      <c r="A175" s="12"/>
      <c r="D175" s="2"/>
      <c r="F175" s="6"/>
    </row>
    <row r="176" spans="1:6">
      <c r="A176" s="12"/>
      <c r="D176" s="2"/>
      <c r="F176" s="6"/>
    </row>
    <row r="177" spans="1:6">
      <c r="A177" s="12"/>
      <c r="D177" s="2"/>
      <c r="F177" s="6"/>
    </row>
    <row r="178" spans="1:6">
      <c r="A178" s="12"/>
      <c r="D178" s="2"/>
      <c r="F178" s="6"/>
    </row>
    <row r="179" spans="1:6">
      <c r="A179" s="12"/>
      <c r="D179" s="2"/>
      <c r="F179" s="6"/>
    </row>
    <row r="180" spans="1:6">
      <c r="A180" s="12"/>
      <c r="D180" s="2"/>
      <c r="F180" s="6"/>
    </row>
    <row r="181" spans="1:6">
      <c r="A181" s="12"/>
      <c r="D181" s="2"/>
      <c r="F181" s="6"/>
    </row>
    <row r="182" spans="1:6">
      <c r="A182" s="12"/>
      <c r="D182" s="2"/>
      <c r="F182" s="6"/>
    </row>
    <row r="183" spans="1:6">
      <c r="A183" s="12"/>
      <c r="D183" s="2"/>
      <c r="F183" s="6"/>
    </row>
    <row r="184" spans="1:6">
      <c r="A184" s="12"/>
      <c r="D184" s="2"/>
      <c r="F184" s="6"/>
    </row>
    <row r="185" spans="1:6">
      <c r="A185" s="12"/>
      <c r="D185" s="2"/>
      <c r="F185" s="6"/>
    </row>
    <row r="186" spans="1:6">
      <c r="A186" s="12"/>
      <c r="D186" s="2"/>
      <c r="F186" s="6"/>
    </row>
    <row r="187" spans="1:6">
      <c r="A187" s="12"/>
      <c r="D187" s="2"/>
      <c r="F187" s="6"/>
    </row>
    <row r="188" spans="1:6">
      <c r="A188" s="12"/>
      <c r="D188" s="2"/>
      <c r="F188" s="6"/>
    </row>
    <row r="189" spans="1:6">
      <c r="A189" s="12"/>
      <c r="D189" s="2"/>
      <c r="F189" s="6"/>
    </row>
    <row r="190" spans="1:6">
      <c r="A190" s="12"/>
      <c r="D190" s="2"/>
      <c r="F190" s="6"/>
    </row>
    <row r="191" spans="1:6">
      <c r="A191" s="12"/>
      <c r="D191" s="2"/>
      <c r="F191" s="6"/>
    </row>
    <row r="192" spans="1:6">
      <c r="A192" s="12"/>
      <c r="D192" s="2"/>
      <c r="F192" s="6"/>
    </row>
    <row r="193" spans="1:6">
      <c r="A193" s="12"/>
      <c r="D193" s="2"/>
      <c r="F193" s="6"/>
    </row>
    <row r="194" spans="1:6">
      <c r="A194" s="12"/>
      <c r="D194" s="2"/>
      <c r="F194" s="6"/>
    </row>
    <row r="195" spans="1:6">
      <c r="A195" s="12"/>
      <c r="D195" s="2"/>
      <c r="F195" s="6"/>
    </row>
    <row r="196" spans="1:6">
      <c r="A196" s="12"/>
      <c r="D196" s="2"/>
      <c r="F196" s="6"/>
    </row>
    <row r="197" spans="1:6">
      <c r="A197" s="12"/>
      <c r="D197" s="2"/>
      <c r="F197" s="6"/>
    </row>
    <row r="198" spans="1:6">
      <c r="A198" s="12"/>
      <c r="D198" s="2"/>
      <c r="F198" s="6"/>
    </row>
    <row r="199" spans="1:6">
      <c r="A199" s="12"/>
      <c r="D199" s="2"/>
      <c r="F199" s="6"/>
    </row>
    <row r="200" spans="1:6">
      <c r="A200" s="12"/>
      <c r="D200" s="2"/>
      <c r="F200" s="6"/>
    </row>
    <row r="201" spans="1:6">
      <c r="A201" s="12"/>
      <c r="D201" s="2"/>
      <c r="F201" s="6"/>
    </row>
    <row r="202" spans="1:6">
      <c r="A202" s="12"/>
      <c r="D202" s="2"/>
      <c r="F202" s="6"/>
    </row>
    <row r="203" spans="1:6">
      <c r="A203" s="12"/>
      <c r="D203" s="2"/>
      <c r="F203" s="6"/>
    </row>
    <row r="204" spans="1:6">
      <c r="A204" s="12"/>
      <c r="D204" s="2"/>
      <c r="F204" s="6"/>
    </row>
    <row r="205" spans="1:6">
      <c r="A205" s="12"/>
      <c r="D205" s="2"/>
      <c r="F205" s="6"/>
    </row>
    <row r="206" spans="1:6">
      <c r="A206" s="12"/>
      <c r="D206" s="2"/>
      <c r="F206" s="6"/>
    </row>
    <row r="207" spans="1:6">
      <c r="A207" s="12"/>
      <c r="D207" s="2"/>
      <c r="F207" s="6"/>
    </row>
    <row r="208" spans="1:6">
      <c r="A208" s="12"/>
      <c r="D208" s="2"/>
      <c r="F208" s="6"/>
    </row>
    <row r="209" spans="1:6">
      <c r="A209" s="12"/>
      <c r="D209" s="2"/>
      <c r="F209" s="6"/>
    </row>
    <row r="210" spans="1:6">
      <c r="A210" s="12"/>
      <c r="D210" s="2"/>
      <c r="F210" s="6"/>
    </row>
    <row r="211" spans="1:6">
      <c r="A211" s="12"/>
      <c r="D211" s="2"/>
      <c r="F211" s="6"/>
    </row>
    <row r="212" spans="1:6">
      <c r="A212" s="12"/>
      <c r="D212" s="2"/>
      <c r="F212" s="6"/>
    </row>
    <row r="213" spans="1:6">
      <c r="A213" s="12"/>
      <c r="D213" s="2"/>
      <c r="F213" s="6"/>
    </row>
    <row r="214" spans="1:6">
      <c r="A214" s="12"/>
      <c r="D214" s="2"/>
      <c r="F214" s="6"/>
    </row>
    <row r="215" spans="1:6">
      <c r="A215" s="12"/>
      <c r="D215" s="2"/>
      <c r="F215" s="6"/>
    </row>
    <row r="216" spans="1:6">
      <c r="A216" s="12"/>
      <c r="D216" s="2"/>
      <c r="F216" s="6"/>
    </row>
    <row r="217" spans="1:6">
      <c r="A217" s="12"/>
      <c r="D217" s="2"/>
      <c r="F217" s="6"/>
    </row>
    <row r="218" spans="1:6">
      <c r="A218" s="12"/>
      <c r="D218" s="2"/>
      <c r="F218" s="6"/>
    </row>
    <row r="219" spans="1:6">
      <c r="A219" s="12"/>
      <c r="D219" s="2"/>
      <c r="F219" s="6"/>
    </row>
    <row r="220" spans="1:6">
      <c r="A220" s="12"/>
      <c r="D220" s="2"/>
      <c r="F220" s="6"/>
    </row>
    <row r="221" spans="1:6">
      <c r="A221" s="12"/>
      <c r="D221" s="2"/>
      <c r="F221" s="6"/>
    </row>
    <row r="222" spans="1:6">
      <c r="A222" s="12"/>
      <c r="D222" s="2"/>
      <c r="F222" s="6"/>
    </row>
    <row r="223" spans="1:6">
      <c r="A223" s="12"/>
      <c r="D223" s="2"/>
      <c r="F223" s="6"/>
    </row>
    <row r="224" spans="1:6">
      <c r="A224" s="12"/>
      <c r="D224" s="2"/>
      <c r="F224" s="6"/>
    </row>
    <row r="225" spans="1:6">
      <c r="A225" s="12"/>
      <c r="D225" s="2"/>
      <c r="F225" s="6"/>
    </row>
    <row r="226" spans="1:6">
      <c r="A226" s="12"/>
      <c r="D226" s="2"/>
      <c r="F226" s="6"/>
    </row>
    <row r="227" spans="1:6">
      <c r="A227" s="12"/>
      <c r="D227" s="2"/>
      <c r="F227" s="6"/>
    </row>
    <row r="228" spans="1:6">
      <c r="A228" s="12"/>
      <c r="D228" s="2"/>
      <c r="F228" s="6"/>
    </row>
    <row r="229" spans="1:6">
      <c r="A229" s="12"/>
      <c r="D229" s="2"/>
      <c r="F229" s="6"/>
    </row>
    <row r="230" spans="1:6">
      <c r="A230" s="12"/>
      <c r="D230" s="2"/>
      <c r="F230" s="6"/>
    </row>
    <row r="231" spans="1:6">
      <c r="A231" s="12"/>
      <c r="D231" s="2"/>
      <c r="F231" s="6"/>
    </row>
    <row r="232" spans="1:6">
      <c r="A232" s="12"/>
      <c r="D232" s="2"/>
      <c r="F232" s="6"/>
    </row>
    <row r="233" spans="1:6">
      <c r="A233" s="12"/>
      <c r="D233" s="2"/>
      <c r="F233" s="6"/>
    </row>
    <row r="234" spans="1:6">
      <c r="A234" s="12"/>
      <c r="D234" s="2"/>
      <c r="F234" s="6"/>
    </row>
    <row r="235" spans="1:6">
      <c r="A235" s="12"/>
      <c r="D235" s="2"/>
      <c r="F235" s="6"/>
    </row>
    <row r="236" spans="1:6">
      <c r="A236" s="12"/>
      <c r="D236" s="2"/>
      <c r="F236" s="6"/>
    </row>
    <row r="237" spans="1:6">
      <c r="A237" s="12"/>
      <c r="D237" s="2"/>
      <c r="F237" s="6"/>
    </row>
    <row r="238" spans="1:6">
      <c r="A238" s="12"/>
      <c r="D238" s="2"/>
      <c r="F238" s="6"/>
    </row>
    <row r="239" spans="1:6">
      <c r="A239" s="12"/>
      <c r="D239" s="2"/>
      <c r="F239" s="6"/>
    </row>
    <row r="240" spans="1:6">
      <c r="A240" s="12"/>
      <c r="D240" s="2"/>
      <c r="F240" s="6"/>
    </row>
    <row r="241" spans="1:6">
      <c r="A241" s="12"/>
      <c r="D241" s="2"/>
      <c r="F241" s="6"/>
    </row>
    <row r="242" spans="1:6">
      <c r="A242" s="12"/>
      <c r="D242" s="2"/>
      <c r="F242" s="6"/>
    </row>
    <row r="243" spans="1:6">
      <c r="A243" s="12"/>
      <c r="D243" s="2"/>
      <c r="F243" s="6"/>
    </row>
    <row r="244" spans="1:6">
      <c r="A244" s="12"/>
      <c r="D244" s="2"/>
      <c r="F244" s="6"/>
    </row>
    <row r="245" spans="1:6">
      <c r="A245" s="12"/>
      <c r="D245" s="2"/>
      <c r="F245" s="6"/>
    </row>
    <row r="246" spans="1:6">
      <c r="A246" s="12"/>
      <c r="D246" s="2"/>
      <c r="F246" s="6"/>
    </row>
    <row r="247" spans="1:6">
      <c r="A247" s="12"/>
      <c r="D247" s="2"/>
      <c r="F247" s="6"/>
    </row>
    <row r="248" spans="1:6">
      <c r="A248" s="12"/>
      <c r="D248" s="2"/>
      <c r="F248" s="6"/>
    </row>
    <row r="249" spans="1:6">
      <c r="A249" s="12"/>
      <c r="D249" s="2"/>
      <c r="F249" s="6"/>
    </row>
    <row r="250" spans="1:6">
      <c r="A250" s="12"/>
      <c r="D250" s="2"/>
      <c r="F250" s="6"/>
    </row>
    <row r="251" spans="1:6">
      <c r="A251" s="12"/>
      <c r="D251" s="2"/>
      <c r="F251" s="6"/>
    </row>
    <row r="252" spans="1:6">
      <c r="A252" s="12"/>
      <c r="D252" s="2"/>
      <c r="F252" s="6"/>
    </row>
    <row r="253" spans="1:6">
      <c r="A253" s="12"/>
      <c r="D253" s="2"/>
      <c r="F253" s="6"/>
    </row>
    <row r="254" spans="1:6">
      <c r="A254" s="12"/>
      <c r="D254" s="2"/>
      <c r="F254" s="6"/>
    </row>
    <row r="255" spans="1:6">
      <c r="A255" s="12"/>
      <c r="D255" s="2"/>
      <c r="F255" s="6"/>
    </row>
    <row r="256" spans="1:6">
      <c r="A256" s="12"/>
      <c r="D256" s="2"/>
      <c r="F256" s="6"/>
    </row>
    <row r="257" spans="1:6">
      <c r="A257" s="12"/>
      <c r="D257" s="2"/>
      <c r="F257" s="6"/>
    </row>
    <row r="258" spans="1:6">
      <c r="A258" s="12"/>
      <c r="D258" s="2"/>
      <c r="F258" s="6"/>
    </row>
    <row r="259" spans="1:6">
      <c r="A259" s="12"/>
      <c r="D259" s="2"/>
      <c r="F259" s="6"/>
    </row>
    <row r="260" spans="1:6">
      <c r="A260" s="12"/>
      <c r="D260" s="2"/>
      <c r="F260" s="6"/>
    </row>
    <row r="261" spans="1:6">
      <c r="A261" s="12"/>
      <c r="D261" s="2"/>
      <c r="F261" s="6"/>
    </row>
    <row r="262" spans="1:6">
      <c r="A262" s="12"/>
      <c r="D262" s="2"/>
      <c r="F262" s="6"/>
    </row>
    <row r="263" spans="1:6">
      <c r="A263" s="12"/>
      <c r="D263" s="2"/>
      <c r="F263" s="6"/>
    </row>
    <row r="264" spans="1:6">
      <c r="A264" s="12"/>
      <c r="D264" s="2"/>
      <c r="F264" s="6"/>
    </row>
    <row r="265" spans="1:6">
      <c r="A265" s="12"/>
      <c r="D265" s="2"/>
      <c r="F265" s="6"/>
    </row>
    <row r="266" spans="1:6">
      <c r="A266" s="12"/>
      <c r="D266" s="2"/>
      <c r="F266" s="6"/>
    </row>
    <row r="267" spans="1:6">
      <c r="A267" s="12"/>
      <c r="D267" s="2"/>
      <c r="F267" s="6"/>
    </row>
    <row r="268" spans="1:6">
      <c r="A268" s="12"/>
      <c r="D268" s="2"/>
      <c r="F268" s="6"/>
    </row>
    <row r="269" spans="1:6">
      <c r="A269" s="12"/>
      <c r="D269" s="2"/>
      <c r="F269" s="6"/>
    </row>
    <row r="270" spans="1:6">
      <c r="A270" s="12"/>
      <c r="D270" s="2"/>
      <c r="F270" s="6"/>
    </row>
    <row r="271" spans="1:6">
      <c r="A271" s="12"/>
      <c r="D271" s="2"/>
      <c r="F271" s="6"/>
    </row>
    <row r="272" spans="1:6">
      <c r="A272" s="12"/>
      <c r="D272" s="2"/>
      <c r="F272" s="6"/>
    </row>
    <row r="273" spans="1:6">
      <c r="A273" s="12"/>
      <c r="D273" s="2"/>
      <c r="F273" s="6"/>
    </row>
    <row r="274" spans="1:6">
      <c r="A274" s="12"/>
      <c r="D274" s="2"/>
      <c r="F274" s="6"/>
    </row>
    <row r="275" spans="1:6">
      <c r="A275" s="12"/>
      <c r="D275" s="2"/>
      <c r="F275" s="6"/>
    </row>
    <row r="276" spans="1:6">
      <c r="A276" s="12"/>
      <c r="D276" s="2"/>
      <c r="F276" s="6"/>
    </row>
    <row r="277" spans="1:6">
      <c r="A277" s="12"/>
      <c r="D277" s="2"/>
      <c r="F277" s="6"/>
    </row>
    <row r="278" spans="1:6">
      <c r="A278" s="12"/>
      <c r="D278" s="2"/>
      <c r="F278" s="6"/>
    </row>
    <row r="279" spans="1:6">
      <c r="A279" s="12"/>
      <c r="D279" s="2"/>
      <c r="F279" s="6"/>
    </row>
    <row r="280" spans="1:6">
      <c r="A280" s="12"/>
      <c r="D280" s="2"/>
      <c r="F280" s="6"/>
    </row>
    <row r="281" spans="1:6">
      <c r="A281" s="12"/>
      <c r="D281" s="2"/>
      <c r="F281" s="6"/>
    </row>
    <row r="282" spans="1:6">
      <c r="A282" s="12"/>
      <c r="D282" s="2"/>
      <c r="F282" s="6"/>
    </row>
    <row r="283" spans="1:6">
      <c r="A283" s="12"/>
      <c r="D283" s="2"/>
      <c r="F283" s="6"/>
    </row>
    <row r="284" spans="1:6">
      <c r="A284" s="12"/>
      <c r="D284" s="2"/>
      <c r="F284" s="6"/>
    </row>
    <row r="285" spans="1:6">
      <c r="A285" s="12"/>
      <c r="D285" s="2"/>
      <c r="F285" s="6"/>
    </row>
    <row r="286" spans="1:6">
      <c r="A286" s="12"/>
      <c r="D286" s="2"/>
      <c r="F286" s="6"/>
    </row>
    <row r="287" spans="1:6">
      <c r="A287" s="12"/>
      <c r="D287" s="2"/>
      <c r="F287" s="6"/>
    </row>
    <row r="288" spans="1:6">
      <c r="A288" s="12"/>
      <c r="D288" s="2"/>
      <c r="F288" s="6"/>
    </row>
    <row r="289" spans="1:6">
      <c r="A289" s="12"/>
      <c r="D289" s="2"/>
      <c r="F289" s="6"/>
    </row>
    <row r="290" spans="1:6">
      <c r="A290" s="12"/>
      <c r="D290" s="2"/>
      <c r="F290" s="6"/>
    </row>
    <row r="291" spans="1:6">
      <c r="A291" s="12"/>
      <c r="D291" s="2"/>
      <c r="F291" s="6"/>
    </row>
    <row r="292" spans="1:6">
      <c r="A292" s="12"/>
      <c r="D292" s="2"/>
      <c r="F292" s="6"/>
    </row>
    <row r="293" spans="1:6">
      <c r="A293" s="12"/>
      <c r="D293" s="2"/>
      <c r="F293" s="6"/>
    </row>
    <row r="294" spans="1:6">
      <c r="A294" s="12"/>
      <c r="D294" s="2"/>
      <c r="F294" s="6"/>
    </row>
    <row r="295" spans="1:6">
      <c r="A295" s="12"/>
      <c r="D295" s="2"/>
      <c r="F295" s="6"/>
    </row>
    <row r="296" spans="1:6">
      <c r="A296" s="12"/>
      <c r="D296" s="2"/>
      <c r="F296" s="6"/>
    </row>
    <row r="297" spans="1:6">
      <c r="A297" s="12"/>
      <c r="D297" s="2"/>
      <c r="F297" s="6"/>
    </row>
    <row r="298" spans="1:6">
      <c r="A298" s="12"/>
      <c r="D298" s="2"/>
      <c r="F298" s="6"/>
    </row>
    <row r="299" spans="1:6">
      <c r="A299" s="12"/>
      <c r="D299" s="2"/>
      <c r="F299" s="6"/>
    </row>
    <row r="300" spans="1:6">
      <c r="A300" s="12"/>
      <c r="D300" s="2"/>
      <c r="F300" s="6"/>
    </row>
    <row r="301" spans="1:6">
      <c r="A301" s="12"/>
      <c r="D301" s="2"/>
      <c r="F301" s="6"/>
    </row>
    <row r="302" spans="1:6">
      <c r="A302" s="12"/>
      <c r="D302" s="2"/>
      <c r="F302" s="6"/>
    </row>
    <row r="303" spans="1:6">
      <c r="A303" s="12"/>
      <c r="D303" s="2"/>
      <c r="F303" s="6"/>
    </row>
    <row r="304" spans="1:6">
      <c r="A304" s="12"/>
      <c r="D304" s="2"/>
      <c r="F304" s="6"/>
    </row>
    <row r="305" spans="1:6">
      <c r="A305" s="12"/>
      <c r="D305" s="2"/>
      <c r="F305" s="6"/>
    </row>
    <row r="306" spans="1:6">
      <c r="A306" s="12"/>
      <c r="D306" s="2"/>
      <c r="F306" s="6"/>
    </row>
    <row r="307" spans="1:6">
      <c r="A307" s="12"/>
      <c r="D307" s="2"/>
      <c r="F307" s="6"/>
    </row>
    <row r="308" spans="1:6">
      <c r="A308" s="12"/>
      <c r="D308" s="2"/>
      <c r="F308" s="6"/>
    </row>
    <row r="309" spans="1:6">
      <c r="A309" s="12"/>
      <c r="D309" s="2"/>
      <c r="F309" s="6"/>
    </row>
    <row r="310" spans="1:6">
      <c r="A310" s="12"/>
      <c r="D310" s="2"/>
      <c r="F310" s="6"/>
    </row>
    <row r="311" spans="1:6">
      <c r="A311" s="12"/>
      <c r="D311" s="2"/>
      <c r="F311" s="6"/>
    </row>
    <row r="312" spans="1:6">
      <c r="A312" s="12"/>
      <c r="D312" s="2"/>
      <c r="F312" s="6"/>
    </row>
    <row r="313" spans="1:6">
      <c r="A313" s="12"/>
      <c r="D313" s="2"/>
      <c r="F313" s="6"/>
    </row>
    <row r="314" spans="1:6">
      <c r="A314" s="12"/>
      <c r="D314" s="2"/>
      <c r="F314" s="6"/>
    </row>
    <row r="315" spans="1:6">
      <c r="A315" s="12"/>
      <c r="D315" s="2"/>
      <c r="F315" s="6"/>
    </row>
    <row r="316" spans="1:6">
      <c r="A316" s="12"/>
      <c r="D316" s="2"/>
      <c r="F316" s="6"/>
    </row>
    <row r="317" spans="1:6">
      <c r="A317" s="12"/>
      <c r="D317" s="2"/>
      <c r="F317" s="6"/>
    </row>
    <row r="318" spans="1:6">
      <c r="A318" s="12"/>
      <c r="D318" s="2"/>
      <c r="F318" s="6"/>
    </row>
    <row r="319" spans="1:6">
      <c r="A319" s="12"/>
      <c r="D319" s="2"/>
      <c r="F319" s="6"/>
    </row>
    <row r="320" spans="1:6">
      <c r="A320" s="12"/>
      <c r="D320" s="2"/>
      <c r="F320" s="6"/>
    </row>
    <row r="321" spans="1:6">
      <c r="A321" s="12"/>
      <c r="D321" s="2"/>
      <c r="F321" s="6"/>
    </row>
    <row r="322" spans="1:6">
      <c r="A322" s="12"/>
      <c r="D322" s="2"/>
      <c r="F322" s="6"/>
    </row>
    <row r="323" spans="1:6">
      <c r="A323" s="12"/>
      <c r="D323" s="2"/>
      <c r="F323" s="6"/>
    </row>
    <row r="324" spans="1:6">
      <c r="A324" s="12"/>
      <c r="D324" s="2"/>
      <c r="F324" s="6"/>
    </row>
    <row r="325" spans="1:6">
      <c r="A325" s="12"/>
      <c r="D325" s="2"/>
      <c r="F325" s="6"/>
    </row>
    <row r="326" spans="1:6">
      <c r="A326" s="12"/>
      <c r="D326" s="2"/>
      <c r="F326" s="6"/>
    </row>
    <row r="327" spans="1:6">
      <c r="A327" s="12"/>
      <c r="D327" s="2"/>
      <c r="F327" s="6"/>
    </row>
    <row r="328" spans="1:6">
      <c r="A328" s="12"/>
      <c r="D328" s="2"/>
      <c r="F328" s="6"/>
    </row>
    <row r="329" spans="1:6">
      <c r="A329" s="12"/>
      <c r="D329" s="2"/>
      <c r="F329" s="6"/>
    </row>
    <row r="330" spans="1:6">
      <c r="A330" s="12"/>
      <c r="D330" s="2"/>
      <c r="F330" s="6"/>
    </row>
    <row r="331" spans="1:6">
      <c r="A331" s="12"/>
      <c r="D331" s="2"/>
      <c r="F331" s="6"/>
    </row>
    <row r="332" spans="1:6">
      <c r="A332" s="12"/>
      <c r="D332" s="2"/>
      <c r="F332" s="6"/>
    </row>
    <row r="333" spans="1:6">
      <c r="A333" s="12"/>
      <c r="D333" s="2"/>
      <c r="F333" s="6"/>
    </row>
    <row r="334" spans="1:6">
      <c r="A334" s="12"/>
      <c r="D334" s="2"/>
      <c r="F334" s="6"/>
    </row>
    <row r="335" spans="1:6">
      <c r="A335" s="12"/>
      <c r="D335" s="2"/>
      <c r="F335" s="6"/>
    </row>
    <row r="336" spans="1:6">
      <c r="A336" s="12"/>
      <c r="D336" s="2"/>
      <c r="F336" s="6"/>
    </row>
    <row r="337" spans="1:6">
      <c r="A337" s="12"/>
      <c r="D337" s="2"/>
      <c r="F337" s="6"/>
    </row>
    <row r="338" spans="1:6">
      <c r="A338" s="12"/>
      <c r="D338" s="2"/>
      <c r="F338" s="6"/>
    </row>
    <row r="339" spans="1:6">
      <c r="A339" s="12"/>
      <c r="D339" s="2"/>
      <c r="F339" s="6"/>
    </row>
    <row r="340" spans="1:6">
      <c r="A340" s="12"/>
      <c r="D340" s="2"/>
      <c r="F340" s="6"/>
    </row>
    <row r="341" spans="1:6">
      <c r="A341" s="12"/>
      <c r="D341" s="2"/>
      <c r="F341" s="6"/>
    </row>
    <row r="342" spans="1:6">
      <c r="A342" s="12"/>
      <c r="D342" s="2"/>
      <c r="F342" s="6"/>
    </row>
    <row r="343" spans="1:6">
      <c r="A343" s="12"/>
      <c r="D343" s="2"/>
      <c r="F343" s="6"/>
    </row>
    <row r="344" spans="1:6">
      <c r="A344" s="12"/>
      <c r="D344" s="2"/>
      <c r="F344" s="6"/>
    </row>
    <row r="345" spans="1:6">
      <c r="A345" s="12"/>
      <c r="D345" s="2"/>
      <c r="F345" s="6"/>
    </row>
    <row r="346" spans="1:6">
      <c r="A346" s="12"/>
      <c r="D346" s="2"/>
      <c r="F346" s="6"/>
    </row>
    <row r="347" spans="1:6">
      <c r="A347" s="12"/>
      <c r="D347" s="2"/>
      <c r="F347" s="6"/>
    </row>
    <row r="348" spans="1:6">
      <c r="A348" s="12"/>
      <c r="D348" s="2"/>
      <c r="F348" s="6"/>
    </row>
    <row r="349" spans="1:6">
      <c r="A349" s="12"/>
      <c r="D349" s="2"/>
      <c r="F349" s="6"/>
    </row>
    <row r="350" spans="1:6">
      <c r="A350" s="12"/>
      <c r="D350" s="2"/>
      <c r="F350" s="6"/>
    </row>
    <row r="351" spans="1:6">
      <c r="A351" s="12"/>
      <c r="D351" s="2"/>
      <c r="F351" s="6"/>
    </row>
    <row r="352" spans="1:6">
      <c r="A352" s="12"/>
      <c r="D352" s="2"/>
      <c r="F352" s="6"/>
    </row>
    <row r="353" spans="1:6">
      <c r="A353" s="12"/>
      <c r="D353" s="2"/>
      <c r="F353" s="6"/>
    </row>
    <row r="354" spans="1:6">
      <c r="A354" s="12"/>
      <c r="D354" s="2"/>
      <c r="F354" s="6"/>
    </row>
    <row r="355" spans="1:6">
      <c r="A355" s="12"/>
      <c r="D355" s="2"/>
      <c r="F355" s="6"/>
    </row>
    <row r="356" spans="1:6">
      <c r="A356" s="12"/>
      <c r="D356" s="2"/>
      <c r="F356" s="6"/>
    </row>
    <row r="357" spans="1:6">
      <c r="A357" s="12"/>
      <c r="D357" s="2"/>
      <c r="F357" s="6"/>
    </row>
    <row r="358" spans="1:6">
      <c r="A358" s="12"/>
      <c r="D358" s="2"/>
      <c r="F358" s="6"/>
    </row>
    <row r="359" spans="1:6">
      <c r="A359" s="12"/>
      <c r="D359" s="2"/>
      <c r="F359" s="6"/>
    </row>
    <row r="360" spans="1:6">
      <c r="A360" s="12"/>
      <c r="D360" s="2"/>
      <c r="F360" s="6"/>
    </row>
    <row r="361" spans="1:6">
      <c r="A361" s="12"/>
      <c r="D361" s="2"/>
      <c r="F361" s="6"/>
    </row>
    <row r="362" spans="1:6">
      <c r="A362" s="12"/>
      <c r="D362" s="2"/>
      <c r="F362" s="6"/>
    </row>
    <row r="363" spans="1:6">
      <c r="A363" s="12"/>
      <c r="D363" s="2"/>
      <c r="F363" s="6"/>
    </row>
    <row r="364" spans="1:6">
      <c r="A364" s="12"/>
      <c r="D364" s="2"/>
      <c r="F364" s="6"/>
    </row>
    <row r="365" spans="1:6">
      <c r="A365" s="12"/>
      <c r="D365" s="2"/>
      <c r="F365" s="6"/>
    </row>
    <row r="366" spans="1:6">
      <c r="A366" s="12"/>
      <c r="D366" s="2"/>
      <c r="F366" s="6"/>
    </row>
    <row r="367" spans="1:6">
      <c r="A367" s="12"/>
      <c r="D367" s="2"/>
      <c r="F367" s="6"/>
    </row>
    <row r="368" spans="1:6">
      <c r="A368" s="12"/>
      <c r="D368" s="2"/>
      <c r="F368" s="6"/>
    </row>
    <row r="369" spans="1:6">
      <c r="A369" s="12"/>
      <c r="D369" s="2"/>
      <c r="F369" s="6"/>
    </row>
    <row r="370" spans="1:6">
      <c r="A370" s="12"/>
      <c r="D370" s="2"/>
      <c r="F370" s="6"/>
    </row>
    <row r="371" spans="1:6">
      <c r="A371" s="12"/>
      <c r="D371" s="2"/>
      <c r="F371" s="6"/>
    </row>
    <row r="372" spans="1:6">
      <c r="A372" s="12"/>
      <c r="D372" s="2"/>
      <c r="F372" s="6"/>
    </row>
    <row r="373" spans="1:6">
      <c r="A373" s="12"/>
      <c r="D373" s="2"/>
      <c r="F373" s="6"/>
    </row>
    <row r="374" spans="1:6">
      <c r="A374" s="12"/>
      <c r="D374" s="2"/>
      <c r="F374" s="6"/>
    </row>
    <row r="375" spans="1:6">
      <c r="A375" s="12"/>
      <c r="D375" s="2"/>
      <c r="F375" s="6"/>
    </row>
    <row r="376" spans="1:6">
      <c r="A376" s="12"/>
      <c r="D376" s="2"/>
      <c r="F376" s="6"/>
    </row>
    <row r="377" spans="1:6">
      <c r="A377" s="12"/>
      <c r="D377" s="2"/>
      <c r="F377" s="6"/>
    </row>
    <row r="378" spans="1:6">
      <c r="A378" s="12"/>
      <c r="D378" s="2"/>
      <c r="F378" s="6"/>
    </row>
    <row r="379" spans="1:6">
      <c r="A379" s="12"/>
      <c r="D379" s="2"/>
      <c r="F379" s="6"/>
    </row>
    <row r="380" spans="1:6">
      <c r="A380" s="12"/>
      <c r="D380" s="2"/>
      <c r="F380" s="6"/>
    </row>
    <row r="381" spans="1:6">
      <c r="A381" s="12"/>
      <c r="D381" s="2"/>
      <c r="F381" s="6"/>
    </row>
    <row r="382" spans="1:6">
      <c r="A382" s="12"/>
      <c r="D382" s="2"/>
      <c r="F382" s="6"/>
    </row>
    <row r="383" spans="1:6">
      <c r="A383" s="12"/>
      <c r="D383" s="2"/>
      <c r="F383" s="6"/>
    </row>
    <row r="384" spans="1:6">
      <c r="A384" s="12"/>
      <c r="D384" s="2"/>
      <c r="F384" s="6"/>
    </row>
    <row r="385" spans="1:6">
      <c r="A385" s="12"/>
      <c r="D385" s="2"/>
      <c r="F385" s="6"/>
    </row>
    <row r="386" spans="1:6">
      <c r="A386" s="12"/>
      <c r="D386" s="2"/>
      <c r="F386" s="6"/>
    </row>
    <row r="387" spans="1:6">
      <c r="A387" s="12"/>
      <c r="D387" s="2"/>
      <c r="F387" s="6"/>
    </row>
    <row r="388" spans="1:6">
      <c r="A388" s="12"/>
      <c r="D388" s="2"/>
      <c r="F388" s="6"/>
    </row>
    <row r="389" spans="1:6">
      <c r="A389" s="12"/>
      <c r="D389" s="2"/>
      <c r="F389" s="6"/>
    </row>
    <row r="390" spans="1:6">
      <c r="A390" s="12"/>
      <c r="D390" s="2"/>
      <c r="F390" s="6"/>
    </row>
    <row r="391" spans="1:6">
      <c r="A391" s="12"/>
      <c r="D391" s="2"/>
      <c r="F391" s="6"/>
    </row>
    <row r="392" spans="1:6">
      <c r="A392" s="12"/>
      <c r="D392" s="2"/>
      <c r="F392" s="6"/>
    </row>
    <row r="393" spans="1:6">
      <c r="A393" s="12"/>
      <c r="D393" s="2"/>
      <c r="F393" s="6"/>
    </row>
    <row r="394" spans="1:6">
      <c r="A394" s="12"/>
      <c r="D394" s="2"/>
      <c r="F394" s="6"/>
    </row>
    <row r="395" spans="1:6">
      <c r="A395" s="12"/>
      <c r="D395" s="2"/>
      <c r="F395" s="6"/>
    </row>
    <row r="396" spans="1:6">
      <c r="A396" s="12"/>
      <c r="D396" s="2"/>
      <c r="F396" s="6"/>
    </row>
    <row r="397" spans="1:6">
      <c r="A397" s="12"/>
      <c r="D397" s="2"/>
      <c r="F397" s="6"/>
    </row>
    <row r="398" spans="1:6">
      <c r="A398" s="12"/>
      <c r="D398" s="2"/>
      <c r="F398" s="6"/>
    </row>
    <row r="399" spans="1:6">
      <c r="A399" s="12"/>
      <c r="D399" s="2"/>
      <c r="F399" s="6"/>
    </row>
    <row r="400" spans="1:6">
      <c r="A400" s="12"/>
      <c r="D400" s="2"/>
      <c r="F400" s="6"/>
    </row>
    <row r="401" spans="1:6">
      <c r="A401" s="12"/>
      <c r="D401" s="2"/>
      <c r="F401" s="6"/>
    </row>
    <row r="402" spans="1:6">
      <c r="A402" s="12"/>
      <c r="D402" s="2"/>
      <c r="F402" s="6"/>
    </row>
    <row r="403" spans="1:6">
      <c r="A403" s="12"/>
      <c r="D403" s="2"/>
      <c r="F403" s="6"/>
    </row>
    <row r="404" spans="1:6">
      <c r="A404" s="12"/>
      <c r="D404" s="2"/>
      <c r="F404" s="6"/>
    </row>
    <row r="405" spans="1:6">
      <c r="A405" s="12"/>
      <c r="D405" s="2"/>
      <c r="F405" s="6"/>
    </row>
    <row r="406" spans="1:6">
      <c r="A406" s="12"/>
      <c r="D406" s="2"/>
      <c r="F406" s="6"/>
    </row>
    <row r="407" spans="1:6">
      <c r="A407" s="12"/>
      <c r="D407" s="2"/>
      <c r="F407" s="6"/>
    </row>
    <row r="408" spans="1:6">
      <c r="A408" s="12"/>
      <c r="D408" s="2"/>
      <c r="F408" s="6"/>
    </row>
    <row r="409" spans="1:6">
      <c r="A409" s="12"/>
      <c r="D409" s="2"/>
      <c r="F409" s="6"/>
    </row>
    <row r="410" spans="1:6">
      <c r="A410" s="12"/>
      <c r="D410" s="2"/>
      <c r="F410" s="6"/>
    </row>
    <row r="411" spans="1:6">
      <c r="A411" s="12"/>
      <c r="D411" s="2"/>
      <c r="F411" s="6"/>
    </row>
    <row r="412" spans="1:6">
      <c r="A412" s="12"/>
      <c r="D412" s="2"/>
      <c r="F412" s="6"/>
    </row>
    <row r="413" spans="1:6">
      <c r="A413" s="12"/>
      <c r="D413" s="2"/>
      <c r="F413" s="6"/>
    </row>
    <row r="414" spans="1:6">
      <c r="A414" s="12"/>
      <c r="D414" s="2"/>
      <c r="F414" s="6"/>
    </row>
    <row r="415" spans="1:6">
      <c r="A415" s="12"/>
      <c r="D415" s="2"/>
      <c r="F415" s="6"/>
    </row>
    <row r="416" spans="1:6">
      <c r="A416" s="12"/>
      <c r="D416" s="2"/>
      <c r="F416" s="6"/>
    </row>
    <row r="417" spans="1:6">
      <c r="A417" s="12"/>
      <c r="D417" s="2"/>
      <c r="F417" s="6"/>
    </row>
    <row r="418" spans="1:6">
      <c r="A418" s="12"/>
      <c r="D418" s="2"/>
      <c r="F418" s="6"/>
    </row>
    <row r="419" spans="1:6">
      <c r="A419" s="12"/>
      <c r="D419" s="2"/>
      <c r="F419" s="6"/>
    </row>
    <row r="420" spans="1:6">
      <c r="A420" s="12"/>
      <c r="D420" s="2"/>
      <c r="F420" s="6"/>
    </row>
    <row r="421" spans="1:6">
      <c r="A421" s="12"/>
      <c r="D421" s="2"/>
      <c r="F421" s="6"/>
    </row>
    <row r="422" spans="1:6">
      <c r="A422" s="12"/>
      <c r="D422" s="2"/>
      <c r="F422" s="6"/>
    </row>
    <row r="423" spans="1:6">
      <c r="A423" s="12"/>
      <c r="D423" s="2"/>
      <c r="F423" s="6"/>
    </row>
    <row r="424" spans="1:6">
      <c r="A424" s="12"/>
      <c r="D424" s="2"/>
      <c r="F424" s="6"/>
    </row>
    <row r="425" spans="1:6">
      <c r="A425" s="12"/>
      <c r="D425" s="2"/>
      <c r="F425" s="6"/>
    </row>
    <row r="426" spans="1:6">
      <c r="A426" s="12"/>
      <c r="D426" s="2"/>
      <c r="F426" s="6"/>
    </row>
    <row r="427" spans="1:6">
      <c r="A427" s="12"/>
      <c r="D427" s="2"/>
      <c r="F427" s="6"/>
    </row>
    <row r="428" spans="1:6">
      <c r="A428" s="12"/>
      <c r="D428" s="2"/>
      <c r="F428" s="6"/>
    </row>
    <row r="429" spans="1:6">
      <c r="A429" s="12"/>
      <c r="D429" s="2"/>
      <c r="F429" s="6"/>
    </row>
    <row r="430" spans="1:6">
      <c r="A430" s="12"/>
      <c r="D430" s="2"/>
      <c r="F430" s="6"/>
    </row>
    <row r="431" spans="1:6">
      <c r="A431" s="12"/>
      <c r="D431" s="2"/>
      <c r="F431" s="6"/>
    </row>
    <row r="432" spans="1:6">
      <c r="A432" s="12"/>
      <c r="D432" s="2"/>
      <c r="F432" s="6"/>
    </row>
    <row r="433" spans="1:6">
      <c r="A433" s="12"/>
      <c r="D433" s="2"/>
      <c r="F433" s="6"/>
    </row>
    <row r="434" spans="1:6">
      <c r="A434" s="12"/>
      <c r="D434" s="2"/>
      <c r="F434" s="6"/>
    </row>
    <row r="435" spans="1:6">
      <c r="A435" s="12"/>
      <c r="D435" s="2"/>
      <c r="F435" s="6"/>
    </row>
    <row r="436" spans="1:6">
      <c r="A436" s="12"/>
      <c r="D436" s="2"/>
      <c r="F436" s="6"/>
    </row>
    <row r="437" spans="1:6">
      <c r="A437" s="12"/>
      <c r="D437" s="2"/>
      <c r="F437" s="6"/>
    </row>
    <row r="438" spans="1:6">
      <c r="A438" s="12"/>
      <c r="D438" s="2"/>
      <c r="F438" s="6"/>
    </row>
    <row r="439" spans="1:6">
      <c r="A439" s="12"/>
      <c r="D439" s="2"/>
      <c r="F439" s="6"/>
    </row>
    <row r="440" spans="1:6">
      <c r="A440" s="12"/>
      <c r="D440" s="2"/>
      <c r="F440" s="6"/>
    </row>
    <row r="441" spans="1:6">
      <c r="A441" s="12"/>
      <c r="D441" s="2"/>
      <c r="F441" s="6"/>
    </row>
    <row r="442" spans="1:6">
      <c r="A442" s="12"/>
      <c r="D442" s="2"/>
      <c r="F442" s="6"/>
    </row>
    <row r="443" spans="1:6">
      <c r="A443" s="12"/>
      <c r="D443" s="2"/>
      <c r="F443" s="6"/>
    </row>
    <row r="444" spans="1:6">
      <c r="A444" s="12"/>
      <c r="D444" s="2"/>
      <c r="F444" s="6"/>
    </row>
    <row r="445" spans="1:6">
      <c r="A445" s="12"/>
      <c r="D445" s="2"/>
      <c r="F445" s="6"/>
    </row>
    <row r="446" spans="1:6">
      <c r="A446" s="12"/>
      <c r="D446" s="2"/>
      <c r="F446" s="6"/>
    </row>
    <row r="447" spans="1:6">
      <c r="A447" s="12"/>
      <c r="D447" s="2"/>
      <c r="F447" s="6"/>
    </row>
    <row r="448" spans="1:6">
      <c r="A448" s="12"/>
      <c r="D448" s="2"/>
      <c r="F448" s="6"/>
    </row>
    <row r="449" spans="1:6">
      <c r="A449" s="12"/>
      <c r="D449" s="2"/>
      <c r="F449" s="6"/>
    </row>
    <row r="450" spans="1:6">
      <c r="A450" s="12"/>
      <c r="D450" s="2"/>
      <c r="F450" s="6"/>
    </row>
    <row r="451" spans="1:6">
      <c r="A451" s="12"/>
      <c r="D451" s="2"/>
      <c r="F451" s="6"/>
    </row>
    <row r="452" spans="1:6">
      <c r="A452" s="12"/>
      <c r="D452" s="2"/>
      <c r="F452" s="6"/>
    </row>
    <row r="453" spans="1:6">
      <c r="A453" s="12"/>
      <c r="D453" s="2"/>
      <c r="F453" s="6"/>
    </row>
    <row r="454" spans="1:6">
      <c r="A454" s="12"/>
      <c r="D454" s="2"/>
      <c r="F454" s="6"/>
    </row>
    <row r="455" spans="1:6">
      <c r="A455" s="12"/>
      <c r="D455" s="2"/>
      <c r="F455" s="6"/>
    </row>
    <row r="456" spans="1:6">
      <c r="A456" s="12"/>
      <c r="D456" s="2"/>
      <c r="F456" s="6"/>
    </row>
    <row r="457" spans="1:6">
      <c r="A457" s="12"/>
      <c r="D457" s="2"/>
      <c r="F457" s="6"/>
    </row>
    <row r="458" spans="1:6">
      <c r="A458" s="12"/>
      <c r="D458" s="2"/>
      <c r="F458" s="6"/>
    </row>
    <row r="459" spans="1:6">
      <c r="A459" s="12"/>
      <c r="D459" s="2"/>
      <c r="F459" s="6"/>
    </row>
    <row r="460" spans="1:6">
      <c r="A460" s="12"/>
      <c r="D460" s="2"/>
      <c r="F460" s="6"/>
    </row>
    <row r="461" spans="1:6">
      <c r="A461" s="12"/>
      <c r="D461" s="2"/>
      <c r="F461" s="6"/>
    </row>
    <row r="462" spans="1:6">
      <c r="A462" s="12"/>
      <c r="D462" s="2"/>
      <c r="F462" s="6"/>
    </row>
    <row r="463" spans="1:6">
      <c r="A463" s="12"/>
      <c r="D463" s="2"/>
      <c r="F463" s="6"/>
    </row>
    <row r="464" spans="1:6">
      <c r="A464" s="12"/>
      <c r="D464" s="2"/>
      <c r="F464" s="6"/>
    </row>
    <row r="465" spans="1:6">
      <c r="A465" s="12"/>
      <c r="D465" s="2"/>
      <c r="F465" s="6"/>
    </row>
    <row r="466" spans="1:6">
      <c r="A466" s="12"/>
      <c r="D466" s="2"/>
      <c r="F466" s="6"/>
    </row>
    <row r="467" spans="1:6">
      <c r="A467" s="12"/>
      <c r="D467" s="2"/>
      <c r="F467" s="6"/>
    </row>
    <row r="468" spans="1:6">
      <c r="A468" s="12"/>
      <c r="D468" s="2"/>
      <c r="F468" s="6"/>
    </row>
    <row r="469" spans="1:6">
      <c r="A469" s="12"/>
      <c r="D469" s="2"/>
      <c r="F469" s="6"/>
    </row>
    <row r="470" spans="1:6">
      <c r="A470" s="12"/>
      <c r="D470" s="2"/>
      <c r="F470" s="6"/>
    </row>
    <row r="471" spans="1:6">
      <c r="A471" s="12"/>
      <c r="D471" s="2"/>
      <c r="F471" s="6"/>
    </row>
    <row r="472" spans="1:6">
      <c r="A472" s="12"/>
      <c r="D472" s="2"/>
      <c r="F472" s="6"/>
    </row>
    <row r="473" spans="1:6">
      <c r="A473" s="12"/>
      <c r="D473" s="2"/>
      <c r="F473" s="6"/>
    </row>
    <row r="474" spans="1:6">
      <c r="A474" s="12"/>
      <c r="D474" s="2"/>
      <c r="F474" s="6"/>
    </row>
    <row r="475" spans="1:6">
      <c r="A475" s="12"/>
      <c r="D475" s="2"/>
      <c r="F475" s="6"/>
    </row>
    <row r="476" spans="1:6">
      <c r="A476" s="12"/>
      <c r="D476" s="2"/>
      <c r="F476" s="6"/>
    </row>
    <row r="477" spans="1:6">
      <c r="A477" s="12"/>
      <c r="D477" s="2"/>
      <c r="F477" s="6"/>
    </row>
    <row r="478" spans="1:6">
      <c r="A478" s="12"/>
      <c r="D478" s="2"/>
      <c r="F478" s="6"/>
    </row>
    <row r="479" spans="1:6">
      <c r="A479" s="12"/>
      <c r="D479" s="2"/>
      <c r="F479" s="6"/>
    </row>
    <row r="480" spans="1:6">
      <c r="A480" s="12"/>
      <c r="D480" s="2"/>
      <c r="F480" s="6"/>
    </row>
    <row r="481" spans="1:6">
      <c r="A481" s="12"/>
      <c r="D481" s="2"/>
      <c r="F481" s="6"/>
    </row>
    <row r="482" spans="1:6">
      <c r="A482" s="12"/>
      <c r="D482" s="2"/>
      <c r="F482" s="6"/>
    </row>
    <row r="483" spans="1:6">
      <c r="A483" s="12"/>
      <c r="D483" s="2"/>
      <c r="F483" s="6"/>
    </row>
    <row r="484" spans="1:6">
      <c r="A484" s="12"/>
      <c r="D484" s="2"/>
      <c r="F484" s="6"/>
    </row>
    <row r="485" spans="1:6">
      <c r="A485" s="12"/>
      <c r="D485" s="2"/>
      <c r="F485" s="6"/>
    </row>
    <row r="486" spans="1:6">
      <c r="A486" s="12"/>
      <c r="D486" s="2"/>
      <c r="F486" s="6"/>
    </row>
    <row r="487" spans="1:6">
      <c r="A487" s="12"/>
      <c r="D487" s="2"/>
      <c r="F487" s="6"/>
    </row>
    <row r="488" spans="1:6">
      <c r="A488" s="12"/>
      <c r="D488" s="2"/>
      <c r="F488" s="6"/>
    </row>
    <row r="489" spans="1:6">
      <c r="A489" s="12"/>
      <c r="D489" s="2"/>
      <c r="F489" s="6"/>
    </row>
    <row r="490" spans="1:6">
      <c r="A490" s="12"/>
      <c r="D490" s="2"/>
      <c r="F490" s="6"/>
    </row>
    <row r="491" spans="1:6">
      <c r="A491" s="12"/>
      <c r="D491" s="2"/>
      <c r="F491" s="6"/>
    </row>
    <row r="492" spans="1:6">
      <c r="A492" s="12"/>
      <c r="D492" s="2"/>
      <c r="F492" s="6"/>
    </row>
    <row r="493" spans="1:6">
      <c r="A493" s="12"/>
      <c r="D493" s="2"/>
      <c r="F493" s="6"/>
    </row>
    <row r="494" spans="1:6">
      <c r="A494" s="12"/>
      <c r="D494" s="2"/>
      <c r="F494" s="6"/>
    </row>
    <row r="495" spans="1:6">
      <c r="A495" s="12"/>
      <c r="D495" s="2"/>
      <c r="F495" s="6"/>
    </row>
    <row r="496" spans="1:6">
      <c r="A496" s="12"/>
      <c r="D496" s="2"/>
      <c r="F496" s="6"/>
    </row>
    <row r="497" spans="1:6">
      <c r="A497" s="12"/>
      <c r="D497" s="2"/>
      <c r="F497" s="6"/>
    </row>
    <row r="498" spans="1:6">
      <c r="A498" s="12"/>
      <c r="D498" s="2"/>
      <c r="F498" s="6"/>
    </row>
    <row r="499" spans="1:6">
      <c r="A499" s="12"/>
      <c r="D499" s="2"/>
      <c r="F499" s="6"/>
    </row>
    <row r="500" spans="1:6">
      <c r="A500" s="12"/>
      <c r="B500" s="6"/>
      <c r="C500" s="6"/>
      <c r="D500" s="13"/>
      <c r="E500" s="6"/>
      <c r="F500" s="6"/>
    </row>
  </sheetData>
  <mergeCells count="1">
    <mergeCell ref="A1:F1"/>
  </mergeCells>
  <dataValidations count="1">
    <dataValidation type="list" sqref="E4:E500" xr:uid="{00000000-0002-0000-0200-000001000000}">
      <formula1>"Sold,Bar Use,Damaged,Complimentary,Transfer,Other"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Lists!$A$2:$A$100</xm:f>
          </x14:formula1>
          <xm:sqref>C4:C500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133D-7537-4593-9A62-31E91322CDEC}">
  <dimension ref="A1:I45"/>
  <sheetViews>
    <sheetView workbookViewId="0">
      <selection activeCell="Q21" sqref="Q21"/>
    </sheetView>
  </sheetViews>
  <sheetFormatPr defaultRowHeight="14.25"/>
  <cols>
    <col min="1" max="1" width="25.125" bestFit="1" customWidth="1"/>
    <col min="2" max="2" width="8.75" bestFit="1" customWidth="1"/>
    <col min="4" max="4" width="9.125" bestFit="1" customWidth="1"/>
    <col min="5" max="5" width="8.125" bestFit="1" customWidth="1"/>
    <col min="9" max="9" width="10.375" bestFit="1" customWidth="1"/>
  </cols>
  <sheetData>
    <row r="1" spans="1:9" ht="28.5" customHeight="1">
      <c r="A1" s="61" t="s">
        <v>156</v>
      </c>
      <c r="B1" s="62"/>
      <c r="C1" s="62"/>
      <c r="D1" s="62"/>
      <c r="E1" s="62"/>
      <c r="F1" s="62"/>
      <c r="G1" s="62"/>
      <c r="H1" s="62"/>
      <c r="I1" s="63"/>
    </row>
    <row r="2" spans="1:9" ht="15">
      <c r="A2" s="43"/>
      <c r="B2" s="44"/>
      <c r="C2" s="44"/>
      <c r="D2" s="44"/>
      <c r="E2" s="44"/>
      <c r="F2" s="44"/>
      <c r="G2" s="44"/>
      <c r="H2" s="44"/>
      <c r="I2" s="45"/>
    </row>
    <row r="3" spans="1:9" ht="28.5">
      <c r="A3" s="46" t="s">
        <v>1</v>
      </c>
      <c r="B3" s="47" t="s">
        <v>2</v>
      </c>
      <c r="C3" s="47" t="s">
        <v>3</v>
      </c>
      <c r="D3" s="47" t="s">
        <v>157</v>
      </c>
      <c r="E3" s="47" t="s">
        <v>4</v>
      </c>
      <c r="F3" s="47" t="s">
        <v>5</v>
      </c>
      <c r="G3" s="47" t="s">
        <v>6</v>
      </c>
      <c r="H3" s="47" t="s">
        <v>7</v>
      </c>
      <c r="I3" s="48" t="s">
        <v>8</v>
      </c>
    </row>
    <row r="4" spans="1:9" ht="15">
      <c r="A4" s="16" t="s">
        <v>158</v>
      </c>
      <c r="B4" s="17" t="s">
        <v>59</v>
      </c>
      <c r="C4" s="18">
        <v>1.87</v>
      </c>
      <c r="D4" s="19">
        <v>46246</v>
      </c>
      <c r="E4" s="20">
        <v>0</v>
      </c>
      <c r="F4" s="20">
        <v>0</v>
      </c>
      <c r="G4" s="21">
        <v>1.87</v>
      </c>
      <c r="H4" s="18">
        <v>1</v>
      </c>
      <c r="I4" s="22" t="s">
        <v>159</v>
      </c>
    </row>
    <row r="5" spans="1:9" ht="15">
      <c r="A5" s="25" t="s">
        <v>107</v>
      </c>
      <c r="B5" s="26" t="s">
        <v>66</v>
      </c>
      <c r="C5" s="18">
        <v>1.67</v>
      </c>
      <c r="D5" s="19">
        <v>46246</v>
      </c>
      <c r="E5" s="20">
        <v>0</v>
      </c>
      <c r="F5" s="20">
        <v>0</v>
      </c>
      <c r="G5" s="21">
        <v>1.67</v>
      </c>
      <c r="H5" s="18">
        <v>1</v>
      </c>
      <c r="I5" s="22" t="s">
        <v>159</v>
      </c>
    </row>
    <row r="6" spans="1:9" ht="15">
      <c r="A6" s="25" t="s">
        <v>134</v>
      </c>
      <c r="B6" s="26" t="s">
        <v>66</v>
      </c>
      <c r="C6" s="18">
        <v>1</v>
      </c>
      <c r="D6" s="19">
        <v>46246</v>
      </c>
      <c r="E6" s="20">
        <v>0</v>
      </c>
      <c r="F6" s="20">
        <v>0</v>
      </c>
      <c r="G6" s="21">
        <v>1</v>
      </c>
      <c r="H6" s="18">
        <v>1</v>
      </c>
      <c r="I6" s="27" t="s">
        <v>160</v>
      </c>
    </row>
    <row r="7" spans="1:9" ht="15">
      <c r="A7" s="28" t="s">
        <v>161</v>
      </c>
      <c r="B7" s="29" t="s">
        <v>31</v>
      </c>
      <c r="C7" s="18">
        <v>2.95</v>
      </c>
      <c r="D7" s="19">
        <v>46246</v>
      </c>
      <c r="E7" s="20">
        <v>0</v>
      </c>
      <c r="F7" s="20">
        <v>0</v>
      </c>
      <c r="G7" s="21">
        <v>2.95</v>
      </c>
      <c r="H7" s="18">
        <v>1</v>
      </c>
      <c r="I7" s="22" t="s">
        <v>159</v>
      </c>
    </row>
    <row r="8" spans="1:9" ht="15">
      <c r="A8" s="32" t="s">
        <v>133</v>
      </c>
      <c r="B8" s="33" t="s">
        <v>40</v>
      </c>
      <c r="C8" s="18">
        <v>3</v>
      </c>
      <c r="D8" s="19">
        <v>46246</v>
      </c>
      <c r="E8" s="20">
        <v>0</v>
      </c>
      <c r="F8" s="20">
        <v>0</v>
      </c>
      <c r="G8" s="21">
        <v>3</v>
      </c>
      <c r="H8" s="18">
        <v>1</v>
      </c>
      <c r="I8" s="22" t="s">
        <v>159</v>
      </c>
    </row>
    <row r="9" spans="1:9" ht="15">
      <c r="A9" s="32" t="s">
        <v>162</v>
      </c>
      <c r="B9" s="33" t="s">
        <v>40</v>
      </c>
      <c r="C9" s="18">
        <v>2.8</v>
      </c>
      <c r="D9" s="19">
        <v>46246</v>
      </c>
      <c r="E9" s="20">
        <v>0</v>
      </c>
      <c r="F9" s="20">
        <v>0</v>
      </c>
      <c r="G9" s="21">
        <v>2.8</v>
      </c>
      <c r="H9" s="18">
        <v>1</v>
      </c>
      <c r="I9" s="22" t="s">
        <v>159</v>
      </c>
    </row>
    <row r="10" spans="1:9" ht="15">
      <c r="A10" s="25" t="s">
        <v>97</v>
      </c>
      <c r="B10" s="26" t="s">
        <v>66</v>
      </c>
      <c r="C10" s="18">
        <v>1.75</v>
      </c>
      <c r="D10" s="19">
        <v>46246</v>
      </c>
      <c r="E10" s="20">
        <v>0</v>
      </c>
      <c r="F10" s="20">
        <v>0</v>
      </c>
      <c r="G10" s="21">
        <v>1.75</v>
      </c>
      <c r="H10" s="18">
        <v>1</v>
      </c>
      <c r="I10" s="22" t="s">
        <v>159</v>
      </c>
    </row>
    <row r="11" spans="1:9" ht="15">
      <c r="A11" s="25" t="s">
        <v>103</v>
      </c>
      <c r="B11" s="26" t="s">
        <v>66</v>
      </c>
      <c r="C11" s="18">
        <v>1.3</v>
      </c>
      <c r="D11" s="19">
        <v>46246</v>
      </c>
      <c r="E11" s="20">
        <v>0</v>
      </c>
      <c r="F11" s="20">
        <v>0</v>
      </c>
      <c r="G11" s="21">
        <v>1.3</v>
      </c>
      <c r="H11" s="18">
        <v>1</v>
      </c>
      <c r="I11" s="22" t="s">
        <v>159</v>
      </c>
    </row>
    <row r="12" spans="1:9" ht="15">
      <c r="A12" s="28" t="s">
        <v>30</v>
      </c>
      <c r="B12" s="29" t="s">
        <v>31</v>
      </c>
      <c r="C12" s="18">
        <v>1</v>
      </c>
      <c r="D12" s="19">
        <v>46246</v>
      </c>
      <c r="E12" s="20">
        <v>0</v>
      </c>
      <c r="F12" s="20">
        <v>0</v>
      </c>
      <c r="G12" s="21">
        <v>1</v>
      </c>
      <c r="H12" s="18">
        <v>1</v>
      </c>
      <c r="I12" s="27" t="s">
        <v>160</v>
      </c>
    </row>
    <row r="13" spans="1:9" ht="15">
      <c r="A13" s="28" t="s">
        <v>163</v>
      </c>
      <c r="B13" s="29" t="s">
        <v>31</v>
      </c>
      <c r="C13" s="18">
        <v>2</v>
      </c>
      <c r="D13" s="19">
        <v>46246</v>
      </c>
      <c r="E13" s="20">
        <v>0</v>
      </c>
      <c r="F13" s="20">
        <v>0</v>
      </c>
      <c r="G13" s="21">
        <v>2</v>
      </c>
      <c r="H13" s="18">
        <v>1</v>
      </c>
      <c r="I13" s="22" t="s">
        <v>159</v>
      </c>
    </row>
    <row r="14" spans="1:9" ht="15">
      <c r="A14" s="23" t="s">
        <v>164</v>
      </c>
      <c r="B14" s="24" t="s">
        <v>10</v>
      </c>
      <c r="C14" s="18">
        <v>1.67</v>
      </c>
      <c r="D14" s="19">
        <v>46246</v>
      </c>
      <c r="E14" s="20">
        <v>0</v>
      </c>
      <c r="F14" s="20">
        <v>0</v>
      </c>
      <c r="G14" s="21">
        <v>1.67</v>
      </c>
      <c r="H14" s="18">
        <v>1</v>
      </c>
      <c r="I14" s="22" t="s">
        <v>159</v>
      </c>
    </row>
    <row r="15" spans="1:9" ht="15">
      <c r="A15" s="25" t="s">
        <v>165</v>
      </c>
      <c r="B15" s="26" t="s">
        <v>66</v>
      </c>
      <c r="C15" s="18">
        <v>0.67</v>
      </c>
      <c r="D15" s="19">
        <v>46246</v>
      </c>
      <c r="E15" s="20">
        <v>0</v>
      </c>
      <c r="F15" s="20">
        <v>0</v>
      </c>
      <c r="G15" s="21">
        <v>0.67</v>
      </c>
      <c r="H15" s="18">
        <v>1</v>
      </c>
      <c r="I15" s="27" t="s">
        <v>160</v>
      </c>
    </row>
    <row r="16" spans="1:9" ht="15">
      <c r="A16" s="28" t="s">
        <v>36</v>
      </c>
      <c r="B16" s="29" t="s">
        <v>31</v>
      </c>
      <c r="C16" s="18">
        <v>0.4</v>
      </c>
      <c r="D16" s="19">
        <v>46246</v>
      </c>
      <c r="E16" s="20">
        <v>0</v>
      </c>
      <c r="F16" s="20">
        <v>0</v>
      </c>
      <c r="G16" s="21">
        <v>0.4</v>
      </c>
      <c r="H16" s="18">
        <v>1</v>
      </c>
      <c r="I16" s="27" t="s">
        <v>160</v>
      </c>
    </row>
    <row r="17" spans="1:9" ht="15">
      <c r="A17" s="25" t="s">
        <v>100</v>
      </c>
      <c r="B17" s="26" t="s">
        <v>66</v>
      </c>
      <c r="C17" s="18">
        <v>0.75</v>
      </c>
      <c r="D17" s="19">
        <v>46246</v>
      </c>
      <c r="E17" s="20">
        <v>0</v>
      </c>
      <c r="F17" s="20">
        <v>0</v>
      </c>
      <c r="G17" s="21">
        <v>0.75</v>
      </c>
      <c r="H17" s="18">
        <v>1</v>
      </c>
      <c r="I17" s="27" t="s">
        <v>160</v>
      </c>
    </row>
    <row r="18" spans="1:9" ht="15">
      <c r="A18" s="25" t="s">
        <v>69</v>
      </c>
      <c r="B18" s="26" t="s">
        <v>66</v>
      </c>
      <c r="C18" s="18">
        <v>0.67</v>
      </c>
      <c r="D18" s="19">
        <v>46246</v>
      </c>
      <c r="E18" s="20">
        <v>0</v>
      </c>
      <c r="F18" s="20">
        <v>0</v>
      </c>
      <c r="G18" s="21">
        <v>0.67</v>
      </c>
      <c r="H18" s="18">
        <v>1</v>
      </c>
      <c r="I18" s="27" t="s">
        <v>160</v>
      </c>
    </row>
    <row r="19" spans="1:9" ht="15">
      <c r="A19" s="32" t="s">
        <v>48</v>
      </c>
      <c r="B19" s="33" t="s">
        <v>40</v>
      </c>
      <c r="C19" s="18">
        <v>1</v>
      </c>
      <c r="D19" s="19">
        <v>46246</v>
      </c>
      <c r="E19" s="20">
        <v>0</v>
      </c>
      <c r="F19" s="20">
        <v>0</v>
      </c>
      <c r="G19" s="21">
        <v>1</v>
      </c>
      <c r="H19" s="18">
        <v>1</v>
      </c>
      <c r="I19" s="27" t="s">
        <v>160</v>
      </c>
    </row>
    <row r="20" spans="1:9" ht="15">
      <c r="A20" s="32" t="s">
        <v>166</v>
      </c>
      <c r="B20" s="33" t="s">
        <v>40</v>
      </c>
      <c r="C20" s="18">
        <v>2</v>
      </c>
      <c r="D20" s="19">
        <v>46246</v>
      </c>
      <c r="E20" s="20">
        <v>0</v>
      </c>
      <c r="F20" s="20">
        <v>0</v>
      </c>
      <c r="G20" s="21">
        <v>2</v>
      </c>
      <c r="H20" s="18">
        <v>1</v>
      </c>
      <c r="I20" s="22" t="s">
        <v>159</v>
      </c>
    </row>
    <row r="21" spans="1:9" ht="15">
      <c r="A21" s="32" t="s">
        <v>50</v>
      </c>
      <c r="B21" s="33" t="s">
        <v>40</v>
      </c>
      <c r="C21" s="18">
        <v>1</v>
      </c>
      <c r="D21" s="19">
        <v>46246</v>
      </c>
      <c r="E21" s="20">
        <v>0</v>
      </c>
      <c r="F21" s="20">
        <v>0</v>
      </c>
      <c r="G21" s="21">
        <v>1</v>
      </c>
      <c r="H21" s="18">
        <v>1</v>
      </c>
      <c r="I21" s="27" t="s">
        <v>160</v>
      </c>
    </row>
    <row r="22" spans="1:9" ht="15">
      <c r="A22" s="32" t="s">
        <v>51</v>
      </c>
      <c r="B22" s="33" t="s">
        <v>40</v>
      </c>
      <c r="C22" s="18">
        <v>1</v>
      </c>
      <c r="D22" s="19">
        <v>46246</v>
      </c>
      <c r="E22" s="20">
        <v>0</v>
      </c>
      <c r="F22" s="20">
        <v>0</v>
      </c>
      <c r="G22" s="21">
        <v>1</v>
      </c>
      <c r="H22" s="18">
        <v>1</v>
      </c>
      <c r="I22" s="27" t="s">
        <v>160</v>
      </c>
    </row>
    <row r="23" spans="1:9" ht="15">
      <c r="A23" s="32" t="s">
        <v>49</v>
      </c>
      <c r="B23" s="33" t="s">
        <v>40</v>
      </c>
      <c r="C23" s="18">
        <v>1</v>
      </c>
      <c r="D23" s="19">
        <v>46246</v>
      </c>
      <c r="E23" s="20">
        <v>0</v>
      </c>
      <c r="F23" s="20">
        <v>0</v>
      </c>
      <c r="G23" s="21">
        <v>1</v>
      </c>
      <c r="H23" s="18">
        <v>1</v>
      </c>
      <c r="I23" s="27" t="s">
        <v>160</v>
      </c>
    </row>
    <row r="24" spans="1:9" ht="15">
      <c r="A24" s="25" t="s">
        <v>167</v>
      </c>
      <c r="B24" s="26" t="s">
        <v>66</v>
      </c>
      <c r="C24" s="18">
        <v>1</v>
      </c>
      <c r="D24" s="19">
        <v>46246</v>
      </c>
      <c r="E24" s="20">
        <v>0</v>
      </c>
      <c r="F24" s="20">
        <v>0</v>
      </c>
      <c r="G24" s="21">
        <v>1</v>
      </c>
      <c r="H24" s="18">
        <v>1</v>
      </c>
      <c r="I24" s="27" t="s">
        <v>160</v>
      </c>
    </row>
    <row r="25" spans="1:9" ht="15">
      <c r="A25" s="25" t="s">
        <v>67</v>
      </c>
      <c r="B25" s="26" t="s">
        <v>66</v>
      </c>
      <c r="C25" s="18">
        <v>2</v>
      </c>
      <c r="D25" s="19">
        <v>46246</v>
      </c>
      <c r="E25" s="20">
        <v>0</v>
      </c>
      <c r="F25" s="20">
        <v>0</v>
      </c>
      <c r="G25" s="21">
        <v>2</v>
      </c>
      <c r="H25" s="18">
        <v>1</v>
      </c>
      <c r="I25" s="22" t="s">
        <v>159</v>
      </c>
    </row>
    <row r="26" spans="1:9" ht="15">
      <c r="A26" s="32" t="s">
        <v>45</v>
      </c>
      <c r="B26" s="33" t="s">
        <v>40</v>
      </c>
      <c r="C26" s="18">
        <v>2</v>
      </c>
      <c r="D26" s="19">
        <v>46246</v>
      </c>
      <c r="E26" s="20">
        <v>0</v>
      </c>
      <c r="F26" s="20">
        <v>0</v>
      </c>
      <c r="G26" s="21">
        <v>2</v>
      </c>
      <c r="H26" s="18">
        <v>1</v>
      </c>
      <c r="I26" s="22" t="s">
        <v>159</v>
      </c>
    </row>
    <row r="27" spans="1:9" ht="15">
      <c r="A27" s="23" t="s">
        <v>15</v>
      </c>
      <c r="B27" s="24" t="s">
        <v>10</v>
      </c>
      <c r="C27" s="18">
        <v>1.3</v>
      </c>
      <c r="D27" s="19">
        <v>46246</v>
      </c>
      <c r="E27" s="20">
        <v>0</v>
      </c>
      <c r="F27" s="20">
        <v>0</v>
      </c>
      <c r="G27" s="21">
        <v>1.3</v>
      </c>
      <c r="H27" s="18">
        <v>1</v>
      </c>
      <c r="I27" s="22" t="s">
        <v>159</v>
      </c>
    </row>
    <row r="28" spans="1:9" ht="15">
      <c r="A28" s="23" t="s">
        <v>16</v>
      </c>
      <c r="B28" s="24" t="s">
        <v>10</v>
      </c>
      <c r="C28" s="18">
        <v>0.5</v>
      </c>
      <c r="D28" s="19">
        <v>46246</v>
      </c>
      <c r="E28" s="20">
        <v>0</v>
      </c>
      <c r="F28" s="20">
        <v>0</v>
      </c>
      <c r="G28" s="21">
        <v>0.5</v>
      </c>
      <c r="H28" s="18">
        <v>1</v>
      </c>
      <c r="I28" s="27" t="s">
        <v>160</v>
      </c>
    </row>
    <row r="29" spans="1:9" ht="15">
      <c r="A29" s="25" t="s">
        <v>71</v>
      </c>
      <c r="B29" s="26" t="s">
        <v>66</v>
      </c>
      <c r="C29" s="18">
        <v>2</v>
      </c>
      <c r="D29" s="19">
        <v>46246</v>
      </c>
      <c r="E29" s="20">
        <v>0</v>
      </c>
      <c r="F29" s="20">
        <v>0</v>
      </c>
      <c r="G29" s="21">
        <v>2</v>
      </c>
      <c r="H29" s="18">
        <v>1</v>
      </c>
      <c r="I29" s="22" t="s">
        <v>159</v>
      </c>
    </row>
    <row r="30" spans="1:9" ht="15">
      <c r="A30" s="28" t="s">
        <v>168</v>
      </c>
      <c r="B30" s="29" t="s">
        <v>31</v>
      </c>
      <c r="C30" s="18">
        <v>0.67</v>
      </c>
      <c r="D30" s="19">
        <v>46246</v>
      </c>
      <c r="E30" s="20">
        <v>0</v>
      </c>
      <c r="F30" s="20">
        <v>0</v>
      </c>
      <c r="G30" s="21">
        <v>0.67</v>
      </c>
      <c r="H30" s="18">
        <v>1</v>
      </c>
      <c r="I30" s="27" t="s">
        <v>160</v>
      </c>
    </row>
    <row r="31" spans="1:9" ht="15">
      <c r="A31" s="23" t="s">
        <v>19</v>
      </c>
      <c r="B31" s="24" t="s">
        <v>10</v>
      </c>
      <c r="C31" s="18">
        <v>1.4</v>
      </c>
      <c r="D31" s="19">
        <v>46246</v>
      </c>
      <c r="E31" s="20">
        <v>0</v>
      </c>
      <c r="F31" s="20">
        <v>0</v>
      </c>
      <c r="G31" s="21">
        <v>1.4</v>
      </c>
      <c r="H31" s="18">
        <v>1</v>
      </c>
      <c r="I31" s="22" t="s">
        <v>159</v>
      </c>
    </row>
    <row r="32" spans="1:9" ht="15">
      <c r="A32" s="25" t="s">
        <v>102</v>
      </c>
      <c r="B32" s="26" t="s">
        <v>66</v>
      </c>
      <c r="C32" s="18">
        <v>1</v>
      </c>
      <c r="D32" s="19">
        <v>46246</v>
      </c>
      <c r="E32" s="20">
        <v>0</v>
      </c>
      <c r="F32" s="20">
        <v>0</v>
      </c>
      <c r="G32" s="21">
        <v>1</v>
      </c>
      <c r="H32" s="18">
        <v>1</v>
      </c>
      <c r="I32" s="27" t="s">
        <v>160</v>
      </c>
    </row>
    <row r="33" spans="1:9" ht="15">
      <c r="A33" s="28" t="s">
        <v>38</v>
      </c>
      <c r="B33" s="29" t="s">
        <v>31</v>
      </c>
      <c r="C33" s="18">
        <v>0.8</v>
      </c>
      <c r="D33" s="19">
        <v>46246</v>
      </c>
      <c r="E33" s="20">
        <v>0</v>
      </c>
      <c r="F33" s="20">
        <v>0</v>
      </c>
      <c r="G33" s="21">
        <v>0.8</v>
      </c>
      <c r="H33" s="18">
        <v>1</v>
      </c>
      <c r="I33" s="27" t="s">
        <v>160</v>
      </c>
    </row>
    <row r="34" spans="1:9" ht="15">
      <c r="A34" s="36" t="s">
        <v>61</v>
      </c>
      <c r="B34" s="37" t="s">
        <v>59</v>
      </c>
      <c r="C34" s="38">
        <v>1</v>
      </c>
      <c r="D34" s="39">
        <v>46246</v>
      </c>
      <c r="E34" s="40">
        <v>0</v>
      </c>
      <c r="F34" s="40">
        <v>0</v>
      </c>
      <c r="G34" s="41">
        <v>1</v>
      </c>
      <c r="H34" s="38">
        <v>1</v>
      </c>
      <c r="I34" s="42" t="s">
        <v>160</v>
      </c>
    </row>
    <row r="35" spans="1:9" ht="15">
      <c r="A35" s="25" t="s">
        <v>134</v>
      </c>
      <c r="B35" s="26" t="s">
        <v>66</v>
      </c>
      <c r="C35" s="18">
        <v>1</v>
      </c>
      <c r="D35" s="19">
        <v>46246</v>
      </c>
      <c r="E35" s="20">
        <v>0</v>
      </c>
      <c r="F35" s="20">
        <v>0</v>
      </c>
      <c r="G35" s="21">
        <v>1</v>
      </c>
      <c r="H35" s="18">
        <v>1</v>
      </c>
      <c r="I35" s="27" t="s">
        <v>160</v>
      </c>
    </row>
    <row r="36" spans="1:9" ht="15">
      <c r="A36" s="34" t="s">
        <v>130</v>
      </c>
      <c r="B36" s="35" t="s">
        <v>114</v>
      </c>
      <c r="C36" s="18">
        <v>0.2</v>
      </c>
      <c r="D36" s="19">
        <v>46246</v>
      </c>
      <c r="E36" s="20">
        <v>0</v>
      </c>
      <c r="F36" s="20">
        <v>0</v>
      </c>
      <c r="G36" s="21">
        <v>0.2</v>
      </c>
      <c r="H36" s="18">
        <v>1</v>
      </c>
      <c r="I36" s="27" t="s">
        <v>160</v>
      </c>
    </row>
    <row r="37" spans="1:9" ht="15">
      <c r="A37" s="25" t="s">
        <v>99</v>
      </c>
      <c r="B37" s="26" t="s">
        <v>66</v>
      </c>
      <c r="C37" s="18">
        <v>0.5</v>
      </c>
      <c r="D37" s="19">
        <v>46246</v>
      </c>
      <c r="E37" s="20">
        <v>0</v>
      </c>
      <c r="F37" s="20">
        <v>0</v>
      </c>
      <c r="G37" s="21">
        <v>0.5</v>
      </c>
      <c r="H37" s="18">
        <v>1</v>
      </c>
      <c r="I37" s="27" t="s">
        <v>160</v>
      </c>
    </row>
    <row r="38" spans="1:9" ht="15">
      <c r="A38" s="23" t="s">
        <v>16</v>
      </c>
      <c r="B38" s="24" t="s">
        <v>10</v>
      </c>
      <c r="C38" s="18">
        <v>0.5</v>
      </c>
      <c r="D38" s="19">
        <v>46246</v>
      </c>
      <c r="E38" s="20">
        <v>0</v>
      </c>
      <c r="F38" s="20">
        <v>0</v>
      </c>
      <c r="G38" s="21">
        <v>0.5</v>
      </c>
      <c r="H38" s="18">
        <v>1</v>
      </c>
      <c r="I38" s="27" t="s">
        <v>160</v>
      </c>
    </row>
    <row r="39" spans="1:9" ht="15">
      <c r="A39" s="32" t="s">
        <v>39</v>
      </c>
      <c r="B39" s="33" t="s">
        <v>40</v>
      </c>
      <c r="C39" s="18">
        <v>0.5</v>
      </c>
      <c r="D39" s="19">
        <v>46246</v>
      </c>
      <c r="E39" s="20">
        <v>0</v>
      </c>
      <c r="F39" s="20">
        <v>0</v>
      </c>
      <c r="G39" s="21">
        <v>0.5</v>
      </c>
      <c r="H39" s="18">
        <v>1</v>
      </c>
      <c r="I39" s="27" t="s">
        <v>160</v>
      </c>
    </row>
    <row r="40" spans="1:9" ht="15">
      <c r="A40" s="28" t="s">
        <v>30</v>
      </c>
      <c r="B40" s="29" t="s">
        <v>31</v>
      </c>
      <c r="C40" s="18">
        <v>0.33</v>
      </c>
      <c r="D40" s="19">
        <v>46246</v>
      </c>
      <c r="E40" s="20">
        <v>0</v>
      </c>
      <c r="F40" s="20">
        <v>0</v>
      </c>
      <c r="G40" s="21">
        <v>0.33</v>
      </c>
      <c r="H40" s="18">
        <v>1</v>
      </c>
      <c r="I40" s="27" t="s">
        <v>160</v>
      </c>
    </row>
    <row r="41" spans="1:9" ht="15">
      <c r="A41" s="25" t="s">
        <v>100</v>
      </c>
      <c r="B41" s="26" t="s">
        <v>66</v>
      </c>
      <c r="C41" s="18">
        <v>0.75</v>
      </c>
      <c r="D41" s="19">
        <v>46246</v>
      </c>
      <c r="E41" s="20">
        <v>0</v>
      </c>
      <c r="F41" s="20">
        <v>0</v>
      </c>
      <c r="G41" s="21">
        <v>0.75</v>
      </c>
      <c r="H41" s="18">
        <v>1</v>
      </c>
      <c r="I41" s="27" t="s">
        <v>160</v>
      </c>
    </row>
    <row r="42" spans="1:9" ht="15">
      <c r="A42" s="25" t="s">
        <v>165</v>
      </c>
      <c r="B42" s="26" t="s">
        <v>66</v>
      </c>
      <c r="C42" s="18">
        <v>1</v>
      </c>
      <c r="D42" s="19">
        <v>46246</v>
      </c>
      <c r="E42" s="20">
        <v>0</v>
      </c>
      <c r="F42" s="20">
        <v>0</v>
      </c>
      <c r="G42" s="21">
        <v>1</v>
      </c>
      <c r="H42" s="18">
        <v>1</v>
      </c>
      <c r="I42" s="27" t="s">
        <v>160</v>
      </c>
    </row>
    <row r="43" spans="1:9" ht="15">
      <c r="A43" s="28" t="s">
        <v>161</v>
      </c>
      <c r="B43" s="29" t="s">
        <v>31</v>
      </c>
      <c r="C43" s="18">
        <v>0.67</v>
      </c>
      <c r="D43" s="19">
        <v>46246</v>
      </c>
      <c r="E43" s="20">
        <v>0</v>
      </c>
      <c r="F43" s="20">
        <v>0</v>
      </c>
      <c r="G43" s="21">
        <v>0.67</v>
      </c>
      <c r="H43" s="18">
        <v>1</v>
      </c>
      <c r="I43" s="27" t="s">
        <v>160</v>
      </c>
    </row>
    <row r="44" spans="1:9" ht="15">
      <c r="A44" s="28" t="s">
        <v>36</v>
      </c>
      <c r="B44" s="29" t="s">
        <v>31</v>
      </c>
      <c r="C44" s="18">
        <v>0.67</v>
      </c>
      <c r="D44" s="19">
        <v>46246</v>
      </c>
      <c r="E44" s="20">
        <v>0</v>
      </c>
      <c r="F44" s="20">
        <v>0</v>
      </c>
      <c r="G44" s="21">
        <v>0.67</v>
      </c>
      <c r="H44" s="18">
        <v>1</v>
      </c>
      <c r="I44" s="27" t="s">
        <v>160</v>
      </c>
    </row>
    <row r="45" spans="1:9" ht="15">
      <c r="A45" s="36" t="s">
        <v>61</v>
      </c>
      <c r="B45" s="37" t="s">
        <v>59</v>
      </c>
      <c r="C45" s="38">
        <v>0.25</v>
      </c>
      <c r="D45" s="39">
        <v>46246</v>
      </c>
      <c r="E45" s="40">
        <v>0</v>
      </c>
      <c r="F45" s="40">
        <v>0</v>
      </c>
      <c r="G45" s="41">
        <v>0.25</v>
      </c>
      <c r="H45" s="38">
        <v>1</v>
      </c>
      <c r="I45" s="42" t="s">
        <v>160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9F3E-4141-4FE2-AAB8-D1C3980FA95F}">
  <dimension ref="A1:I48"/>
  <sheetViews>
    <sheetView workbookViewId="0">
      <selection activeCell="K12" sqref="K12"/>
    </sheetView>
  </sheetViews>
  <sheetFormatPr defaultRowHeight="14.25"/>
  <cols>
    <col min="1" max="1" width="22.75" bestFit="1" customWidth="1"/>
    <col min="2" max="2" width="8.75" bestFit="1" customWidth="1"/>
    <col min="8" max="8" width="7.375" bestFit="1" customWidth="1"/>
    <col min="9" max="9" width="10.375" hidden="1" customWidth="1"/>
  </cols>
  <sheetData>
    <row r="1" spans="1:9" ht="16.5">
      <c r="A1" s="64" t="s">
        <v>169</v>
      </c>
      <c r="B1" s="65"/>
      <c r="C1" s="65"/>
      <c r="D1" s="65"/>
      <c r="E1" s="65"/>
      <c r="F1" s="65"/>
      <c r="G1" s="65"/>
      <c r="H1" s="65"/>
      <c r="I1" s="66"/>
    </row>
    <row r="2" spans="1:9" ht="15">
      <c r="A2" s="43"/>
      <c r="B2" s="44"/>
      <c r="C2" s="44"/>
      <c r="D2" s="44"/>
      <c r="E2" s="44"/>
      <c r="F2" s="44"/>
      <c r="G2" s="44"/>
      <c r="H2" s="44"/>
      <c r="I2" s="45"/>
    </row>
    <row r="3" spans="1:9" ht="28.5">
      <c r="A3" s="49" t="s">
        <v>1</v>
      </c>
      <c r="B3" s="50" t="s">
        <v>2</v>
      </c>
      <c r="C3" s="50" t="s">
        <v>3</v>
      </c>
      <c r="D3" s="50" t="s">
        <v>157</v>
      </c>
      <c r="E3" s="50" t="s">
        <v>4</v>
      </c>
      <c r="F3" s="50" t="s">
        <v>5</v>
      </c>
      <c r="G3" s="50" t="s">
        <v>6</v>
      </c>
      <c r="H3" s="50" t="s">
        <v>7</v>
      </c>
      <c r="I3" s="51"/>
    </row>
    <row r="4" spans="1:9" ht="15">
      <c r="A4" s="16" t="s">
        <v>158</v>
      </c>
      <c r="B4" s="17" t="s">
        <v>59</v>
      </c>
      <c r="C4" s="18">
        <v>2.25</v>
      </c>
      <c r="D4" s="19">
        <v>46246</v>
      </c>
      <c r="E4" s="20">
        <v>0</v>
      </c>
      <c r="F4" s="20">
        <v>0</v>
      </c>
      <c r="G4" s="21">
        <v>2.25</v>
      </c>
      <c r="H4" s="18">
        <v>1</v>
      </c>
      <c r="I4" s="22"/>
    </row>
    <row r="5" spans="1:9" ht="15">
      <c r="A5" s="23" t="s">
        <v>164</v>
      </c>
      <c r="B5" s="24" t="s">
        <v>10</v>
      </c>
      <c r="C5" s="18">
        <v>2.75</v>
      </c>
      <c r="D5" s="19">
        <v>46246</v>
      </c>
      <c r="E5" s="20">
        <v>0</v>
      </c>
      <c r="F5" s="20">
        <v>0</v>
      </c>
      <c r="G5" s="21">
        <v>2.75</v>
      </c>
      <c r="H5" s="18">
        <v>1</v>
      </c>
      <c r="I5" s="22"/>
    </row>
    <row r="6" spans="1:9" ht="15">
      <c r="A6" s="25" t="s">
        <v>103</v>
      </c>
      <c r="B6" s="26" t="s">
        <v>66</v>
      </c>
      <c r="C6" s="18">
        <v>0.2</v>
      </c>
      <c r="D6" s="19">
        <v>46246</v>
      </c>
      <c r="E6" s="20">
        <v>0</v>
      </c>
      <c r="F6" s="20">
        <v>0</v>
      </c>
      <c r="G6" s="21">
        <v>0.2</v>
      </c>
      <c r="H6" s="18">
        <v>1</v>
      </c>
      <c r="I6" s="27"/>
    </row>
    <row r="7" spans="1:9" ht="15">
      <c r="A7" s="25" t="s">
        <v>107</v>
      </c>
      <c r="B7" s="26" t="s">
        <v>66</v>
      </c>
      <c r="C7" s="18">
        <v>1.75</v>
      </c>
      <c r="D7" s="19">
        <v>46246</v>
      </c>
      <c r="E7" s="20">
        <v>0</v>
      </c>
      <c r="F7" s="20">
        <v>0</v>
      </c>
      <c r="G7" s="21">
        <v>1.75</v>
      </c>
      <c r="H7" s="18">
        <v>1</v>
      </c>
      <c r="I7" s="22"/>
    </row>
    <row r="8" spans="1:9" ht="15">
      <c r="A8" s="25" t="s">
        <v>97</v>
      </c>
      <c r="B8" s="26" t="s">
        <v>66</v>
      </c>
      <c r="C8" s="18">
        <v>0.33</v>
      </c>
      <c r="D8" s="19">
        <v>46246</v>
      </c>
      <c r="E8" s="20">
        <v>0</v>
      </c>
      <c r="F8" s="20">
        <v>0</v>
      </c>
      <c r="G8" s="21">
        <v>0.33</v>
      </c>
      <c r="H8" s="18">
        <v>1</v>
      </c>
      <c r="I8" s="27"/>
    </row>
    <row r="9" spans="1:9" ht="15">
      <c r="A9" s="23" t="s">
        <v>29</v>
      </c>
      <c r="B9" s="24" t="s">
        <v>10</v>
      </c>
      <c r="C9" s="18">
        <v>1</v>
      </c>
      <c r="D9" s="19">
        <v>46246</v>
      </c>
      <c r="E9" s="20">
        <v>0</v>
      </c>
      <c r="F9" s="20">
        <v>0</v>
      </c>
      <c r="G9" s="21">
        <v>1</v>
      </c>
      <c r="H9" s="18">
        <v>1</v>
      </c>
      <c r="I9" s="27"/>
    </row>
    <row r="10" spans="1:9" ht="15">
      <c r="A10" s="25" t="s">
        <v>170</v>
      </c>
      <c r="B10" s="26" t="s">
        <v>66</v>
      </c>
      <c r="C10" s="18">
        <v>0.67</v>
      </c>
      <c r="D10" s="19">
        <v>46246</v>
      </c>
      <c r="E10" s="20">
        <v>0</v>
      </c>
      <c r="F10" s="20">
        <v>0</v>
      </c>
      <c r="G10" s="21">
        <v>0.67</v>
      </c>
      <c r="H10" s="18">
        <v>1</v>
      </c>
      <c r="I10" s="27"/>
    </row>
    <row r="11" spans="1:9" ht="15">
      <c r="A11" s="23" t="s">
        <v>17</v>
      </c>
      <c r="B11" s="24" t="s">
        <v>10</v>
      </c>
      <c r="C11" s="18">
        <v>0.5</v>
      </c>
      <c r="D11" s="19">
        <v>46246</v>
      </c>
      <c r="E11" s="20">
        <v>0</v>
      </c>
      <c r="F11" s="20">
        <v>0</v>
      </c>
      <c r="G11" s="21">
        <v>0.5</v>
      </c>
      <c r="H11" s="18">
        <v>1</v>
      </c>
      <c r="I11" s="27"/>
    </row>
    <row r="12" spans="1:9" ht="15">
      <c r="A12" s="23" t="s">
        <v>18</v>
      </c>
      <c r="B12" s="24" t="s">
        <v>10</v>
      </c>
      <c r="C12" s="18">
        <v>1.8</v>
      </c>
      <c r="D12" s="19">
        <v>46246</v>
      </c>
      <c r="E12" s="20">
        <v>0</v>
      </c>
      <c r="F12" s="20">
        <v>0</v>
      </c>
      <c r="G12" s="21">
        <v>1.8</v>
      </c>
      <c r="H12" s="18">
        <v>1</v>
      </c>
      <c r="I12" s="22"/>
    </row>
    <row r="13" spans="1:9" ht="15">
      <c r="A13" s="23" t="s">
        <v>20</v>
      </c>
      <c r="B13" s="24" t="s">
        <v>10</v>
      </c>
      <c r="C13" s="18">
        <v>0.25</v>
      </c>
      <c r="D13" s="19">
        <v>46246</v>
      </c>
      <c r="E13" s="20">
        <v>0</v>
      </c>
      <c r="F13" s="20">
        <v>0</v>
      </c>
      <c r="G13" s="21">
        <v>0.25</v>
      </c>
      <c r="H13" s="18">
        <v>1</v>
      </c>
      <c r="I13" s="27"/>
    </row>
    <row r="14" spans="1:9" ht="15">
      <c r="A14" s="16" t="s">
        <v>60</v>
      </c>
      <c r="B14" s="17" t="s">
        <v>59</v>
      </c>
      <c r="C14" s="18">
        <v>0.67</v>
      </c>
      <c r="D14" s="19">
        <v>46246</v>
      </c>
      <c r="E14" s="20">
        <v>0</v>
      </c>
      <c r="F14" s="20">
        <v>0</v>
      </c>
      <c r="G14" s="21">
        <v>0.67</v>
      </c>
      <c r="H14" s="18">
        <v>1</v>
      </c>
      <c r="I14" s="27"/>
    </row>
    <row r="15" spans="1:9" ht="15">
      <c r="A15" s="23" t="s">
        <v>13</v>
      </c>
      <c r="B15" s="24" t="s">
        <v>10</v>
      </c>
      <c r="C15" s="18">
        <v>1</v>
      </c>
      <c r="D15" s="19">
        <v>46246</v>
      </c>
      <c r="E15" s="20">
        <v>0</v>
      </c>
      <c r="F15" s="20">
        <v>0</v>
      </c>
      <c r="G15" s="21">
        <v>1</v>
      </c>
      <c r="H15" s="18">
        <v>1</v>
      </c>
      <c r="I15" s="27"/>
    </row>
    <row r="16" spans="1:9" ht="15">
      <c r="A16" s="25" t="s">
        <v>101</v>
      </c>
      <c r="B16" s="26" t="s">
        <v>66</v>
      </c>
      <c r="C16" s="18">
        <v>1</v>
      </c>
      <c r="D16" s="19">
        <v>46246</v>
      </c>
      <c r="E16" s="20">
        <v>0</v>
      </c>
      <c r="F16" s="20">
        <v>0</v>
      </c>
      <c r="G16" s="21">
        <v>1</v>
      </c>
      <c r="H16" s="18">
        <v>1</v>
      </c>
      <c r="I16" s="27"/>
    </row>
    <row r="17" spans="1:9" ht="15">
      <c r="A17" s="25" t="s">
        <v>171</v>
      </c>
      <c r="B17" s="26" t="s">
        <v>66</v>
      </c>
      <c r="C17" s="18">
        <v>1</v>
      </c>
      <c r="D17" s="19">
        <v>46246</v>
      </c>
      <c r="E17" s="20">
        <v>0</v>
      </c>
      <c r="F17" s="20">
        <v>0</v>
      </c>
      <c r="G17" s="21">
        <v>1</v>
      </c>
      <c r="H17" s="18">
        <v>1</v>
      </c>
      <c r="I17" s="27"/>
    </row>
    <row r="18" spans="1:9" ht="15">
      <c r="A18" s="25" t="s">
        <v>95</v>
      </c>
      <c r="B18" s="26" t="s">
        <v>66</v>
      </c>
      <c r="C18" s="18">
        <v>0.5</v>
      </c>
      <c r="D18" s="19">
        <v>46246</v>
      </c>
      <c r="E18" s="20">
        <v>0</v>
      </c>
      <c r="F18" s="20">
        <v>0</v>
      </c>
      <c r="G18" s="21">
        <v>0.5</v>
      </c>
      <c r="H18" s="18">
        <v>1</v>
      </c>
      <c r="I18" s="27"/>
    </row>
    <row r="19" spans="1:9" ht="15">
      <c r="A19" s="28" t="s">
        <v>35</v>
      </c>
      <c r="B19" s="29" t="s">
        <v>31</v>
      </c>
      <c r="C19" s="18">
        <v>0.25</v>
      </c>
      <c r="D19" s="19">
        <v>46246</v>
      </c>
      <c r="E19" s="20">
        <v>0</v>
      </c>
      <c r="F19" s="20">
        <v>0</v>
      </c>
      <c r="G19" s="21">
        <v>0.25</v>
      </c>
      <c r="H19" s="18">
        <v>1</v>
      </c>
      <c r="I19" s="27"/>
    </row>
    <row r="20" spans="1:9" ht="15">
      <c r="A20" s="23" t="s">
        <v>12</v>
      </c>
      <c r="B20" s="24" t="s">
        <v>10</v>
      </c>
      <c r="C20" s="18">
        <v>0.5</v>
      </c>
      <c r="D20" s="19">
        <v>46246</v>
      </c>
      <c r="E20" s="20">
        <v>0</v>
      </c>
      <c r="F20" s="20">
        <v>0</v>
      </c>
      <c r="G20" s="21">
        <v>0.5</v>
      </c>
      <c r="H20" s="18">
        <v>1</v>
      </c>
      <c r="I20" s="27"/>
    </row>
    <row r="21" spans="1:9" ht="15">
      <c r="A21" s="23" t="s">
        <v>27</v>
      </c>
      <c r="B21" s="24" t="s">
        <v>10</v>
      </c>
      <c r="C21" s="18">
        <v>1</v>
      </c>
      <c r="D21" s="19">
        <v>46246</v>
      </c>
      <c r="E21" s="20">
        <v>0</v>
      </c>
      <c r="F21" s="20">
        <v>0</v>
      </c>
      <c r="G21" s="21">
        <v>1</v>
      </c>
      <c r="H21" s="18">
        <v>1</v>
      </c>
      <c r="I21" s="27"/>
    </row>
    <row r="22" spans="1:9" ht="15">
      <c r="A22" s="23" t="s">
        <v>14</v>
      </c>
      <c r="B22" s="24" t="s">
        <v>10</v>
      </c>
      <c r="C22" s="18">
        <v>0.67</v>
      </c>
      <c r="D22" s="19">
        <v>46246</v>
      </c>
      <c r="E22" s="20">
        <v>0</v>
      </c>
      <c r="F22" s="20">
        <v>0</v>
      </c>
      <c r="G22" s="21">
        <v>0.67</v>
      </c>
      <c r="H22" s="18">
        <v>1</v>
      </c>
      <c r="I22" s="27"/>
    </row>
    <row r="23" spans="1:9" ht="15">
      <c r="A23" s="25" t="s">
        <v>65</v>
      </c>
      <c r="B23" s="26" t="s">
        <v>66</v>
      </c>
      <c r="C23" s="18">
        <v>0.67</v>
      </c>
      <c r="D23" s="19">
        <v>46246</v>
      </c>
      <c r="E23" s="20">
        <v>0</v>
      </c>
      <c r="F23" s="20">
        <v>0</v>
      </c>
      <c r="G23" s="21">
        <v>0.67</v>
      </c>
      <c r="H23" s="18">
        <v>1</v>
      </c>
      <c r="I23" s="27"/>
    </row>
    <row r="24" spans="1:9" ht="15">
      <c r="A24" s="28" t="s">
        <v>172</v>
      </c>
      <c r="B24" s="29" t="s">
        <v>31</v>
      </c>
      <c r="C24" s="18">
        <v>0.67</v>
      </c>
      <c r="D24" s="19">
        <v>46246</v>
      </c>
      <c r="E24" s="20">
        <v>0</v>
      </c>
      <c r="F24" s="20">
        <v>0</v>
      </c>
      <c r="G24" s="21">
        <v>0.67</v>
      </c>
      <c r="H24" s="18">
        <v>1</v>
      </c>
      <c r="I24" s="27"/>
    </row>
    <row r="25" spans="1:9" ht="15">
      <c r="A25" s="23" t="s">
        <v>25</v>
      </c>
      <c r="B25" s="24" t="s">
        <v>10</v>
      </c>
      <c r="C25" s="18">
        <v>0.8</v>
      </c>
      <c r="D25" s="19">
        <v>46246</v>
      </c>
      <c r="E25" s="20">
        <v>0</v>
      </c>
      <c r="F25" s="20">
        <v>0</v>
      </c>
      <c r="G25" s="21">
        <v>0.8</v>
      </c>
      <c r="H25" s="18">
        <v>1</v>
      </c>
      <c r="I25" s="27"/>
    </row>
    <row r="26" spans="1:9" ht="15">
      <c r="A26" s="23" t="s">
        <v>24</v>
      </c>
      <c r="B26" s="24" t="s">
        <v>10</v>
      </c>
      <c r="C26" s="18">
        <v>1</v>
      </c>
      <c r="D26" s="19">
        <v>46246</v>
      </c>
      <c r="E26" s="20">
        <v>0</v>
      </c>
      <c r="F26" s="20">
        <v>0</v>
      </c>
      <c r="G26" s="21">
        <v>1</v>
      </c>
      <c r="H26" s="18">
        <v>1</v>
      </c>
      <c r="I26" s="27"/>
    </row>
    <row r="27" spans="1:9" ht="15">
      <c r="A27" s="23" t="s">
        <v>26</v>
      </c>
      <c r="B27" s="24" t="s">
        <v>10</v>
      </c>
      <c r="C27" s="18">
        <v>0.8</v>
      </c>
      <c r="D27" s="19">
        <v>46246</v>
      </c>
      <c r="E27" s="20">
        <v>0</v>
      </c>
      <c r="F27" s="20">
        <v>0</v>
      </c>
      <c r="G27" s="21">
        <v>0.8</v>
      </c>
      <c r="H27" s="18">
        <v>1</v>
      </c>
      <c r="I27" s="27"/>
    </row>
    <row r="28" spans="1:9" ht="15">
      <c r="A28" s="23" t="s">
        <v>28</v>
      </c>
      <c r="B28" s="24" t="s">
        <v>10</v>
      </c>
      <c r="C28" s="18">
        <v>0.75</v>
      </c>
      <c r="D28" s="19">
        <v>46246</v>
      </c>
      <c r="E28" s="20">
        <v>0</v>
      </c>
      <c r="F28" s="20">
        <v>0</v>
      </c>
      <c r="G28" s="21">
        <v>0.75</v>
      </c>
      <c r="H28" s="18">
        <v>1</v>
      </c>
      <c r="I28" s="27"/>
    </row>
    <row r="29" spans="1:9" ht="15">
      <c r="A29" s="23" t="s">
        <v>11</v>
      </c>
      <c r="B29" s="24" t="s">
        <v>10</v>
      </c>
      <c r="C29" s="18">
        <v>0.2</v>
      </c>
      <c r="D29" s="19">
        <v>46246</v>
      </c>
      <c r="E29" s="20">
        <v>0</v>
      </c>
      <c r="F29" s="20">
        <v>0</v>
      </c>
      <c r="G29" s="21">
        <v>0.2</v>
      </c>
      <c r="H29" s="18">
        <v>1</v>
      </c>
      <c r="I29" s="27"/>
    </row>
    <row r="30" spans="1:9" ht="15">
      <c r="A30" s="23" t="s">
        <v>173</v>
      </c>
      <c r="B30" s="24" t="s">
        <v>10</v>
      </c>
      <c r="C30" s="18">
        <v>0.25</v>
      </c>
      <c r="D30" s="19">
        <v>46246</v>
      </c>
      <c r="E30" s="20">
        <v>0</v>
      </c>
      <c r="F30" s="20">
        <v>0</v>
      </c>
      <c r="G30" s="21">
        <v>0.25</v>
      </c>
      <c r="H30" s="18">
        <v>1</v>
      </c>
      <c r="I30" s="27"/>
    </row>
    <row r="31" spans="1:9" ht="15">
      <c r="A31" s="30" t="s">
        <v>57</v>
      </c>
      <c r="B31" s="31" t="s">
        <v>54</v>
      </c>
      <c r="C31" s="18">
        <v>1</v>
      </c>
      <c r="D31" s="19">
        <v>46246</v>
      </c>
      <c r="E31" s="20">
        <v>0</v>
      </c>
      <c r="F31" s="20">
        <v>0</v>
      </c>
      <c r="G31" s="21">
        <v>1</v>
      </c>
      <c r="H31" s="18">
        <v>1</v>
      </c>
      <c r="I31" s="27"/>
    </row>
    <row r="32" spans="1:9" ht="15">
      <c r="A32" s="25" t="s">
        <v>69</v>
      </c>
      <c r="B32" s="26" t="s">
        <v>66</v>
      </c>
      <c r="C32" s="18">
        <v>0.25</v>
      </c>
      <c r="D32" s="19">
        <v>46246</v>
      </c>
      <c r="E32" s="20">
        <v>0</v>
      </c>
      <c r="F32" s="20">
        <v>0</v>
      </c>
      <c r="G32" s="21">
        <v>0.25</v>
      </c>
      <c r="H32" s="18">
        <v>1</v>
      </c>
      <c r="I32" s="27"/>
    </row>
    <row r="33" spans="1:9" ht="15">
      <c r="A33" s="32" t="s">
        <v>133</v>
      </c>
      <c r="B33" s="33" t="s">
        <v>40</v>
      </c>
      <c r="C33" s="18">
        <v>0.87</v>
      </c>
      <c r="D33" s="19">
        <v>46246</v>
      </c>
      <c r="E33" s="20">
        <v>0</v>
      </c>
      <c r="F33" s="20">
        <v>0</v>
      </c>
      <c r="G33" s="21">
        <v>0.87</v>
      </c>
      <c r="H33" s="18">
        <v>1</v>
      </c>
      <c r="I33" s="27"/>
    </row>
    <row r="34" spans="1:9" ht="15">
      <c r="A34" s="25" t="s">
        <v>104</v>
      </c>
      <c r="B34" s="26" t="s">
        <v>66</v>
      </c>
      <c r="C34" s="18">
        <v>0.8</v>
      </c>
      <c r="D34" s="19">
        <v>46246</v>
      </c>
      <c r="E34" s="20">
        <v>0</v>
      </c>
      <c r="F34" s="20">
        <v>0</v>
      </c>
      <c r="G34" s="21">
        <v>0.8</v>
      </c>
      <c r="H34" s="18">
        <v>1</v>
      </c>
      <c r="I34" s="27"/>
    </row>
    <row r="35" spans="1:9" ht="15">
      <c r="A35" s="23" t="s">
        <v>15</v>
      </c>
      <c r="B35" s="24" t="s">
        <v>10</v>
      </c>
      <c r="C35" s="18">
        <v>0.2</v>
      </c>
      <c r="D35" s="19">
        <v>46246</v>
      </c>
      <c r="E35" s="20">
        <v>0</v>
      </c>
      <c r="F35" s="20">
        <v>0</v>
      </c>
      <c r="G35" s="21">
        <v>0.2</v>
      </c>
      <c r="H35" s="18">
        <v>1</v>
      </c>
      <c r="I35" s="27"/>
    </row>
    <row r="36" spans="1:9" ht="15">
      <c r="A36" s="28" t="s">
        <v>163</v>
      </c>
      <c r="B36" s="29" t="s">
        <v>31</v>
      </c>
      <c r="C36" s="18">
        <v>0.53</v>
      </c>
      <c r="D36" s="19">
        <v>46246</v>
      </c>
      <c r="E36" s="20">
        <v>0</v>
      </c>
      <c r="F36" s="20">
        <v>0</v>
      </c>
      <c r="G36" s="21">
        <v>0.53</v>
      </c>
      <c r="H36" s="18">
        <v>1</v>
      </c>
      <c r="I36" s="27"/>
    </row>
    <row r="37" spans="1:9" ht="15">
      <c r="A37" s="25" t="s">
        <v>134</v>
      </c>
      <c r="B37" s="26" t="s">
        <v>66</v>
      </c>
      <c r="C37" s="18">
        <v>1</v>
      </c>
      <c r="D37" s="19">
        <v>46246</v>
      </c>
      <c r="E37" s="20">
        <v>0</v>
      </c>
      <c r="F37" s="20">
        <v>0</v>
      </c>
      <c r="G37" s="21">
        <v>1</v>
      </c>
      <c r="H37" s="18">
        <v>1</v>
      </c>
      <c r="I37" s="27"/>
    </row>
    <row r="38" spans="1:9" ht="15">
      <c r="A38" s="34" t="s">
        <v>130</v>
      </c>
      <c r="B38" s="35" t="s">
        <v>114</v>
      </c>
      <c r="C38" s="18">
        <v>0.2</v>
      </c>
      <c r="D38" s="19">
        <v>46246</v>
      </c>
      <c r="E38" s="20">
        <v>0</v>
      </c>
      <c r="F38" s="20">
        <v>0</v>
      </c>
      <c r="G38" s="21">
        <v>0.2</v>
      </c>
      <c r="H38" s="18">
        <v>1</v>
      </c>
      <c r="I38" s="27"/>
    </row>
    <row r="39" spans="1:9" ht="15">
      <c r="A39" s="25" t="s">
        <v>99</v>
      </c>
      <c r="B39" s="26" t="s">
        <v>66</v>
      </c>
      <c r="C39" s="18">
        <v>0.5</v>
      </c>
      <c r="D39" s="19">
        <v>46246</v>
      </c>
      <c r="E39" s="20">
        <v>0</v>
      </c>
      <c r="F39" s="20">
        <v>0</v>
      </c>
      <c r="G39" s="21">
        <v>0.5</v>
      </c>
      <c r="H39" s="18">
        <v>1</v>
      </c>
      <c r="I39" s="27"/>
    </row>
    <row r="40" spans="1:9" ht="15">
      <c r="A40" s="23" t="s">
        <v>16</v>
      </c>
      <c r="B40" s="24" t="s">
        <v>10</v>
      </c>
      <c r="C40" s="18">
        <v>0.5</v>
      </c>
      <c r="D40" s="19">
        <v>46246</v>
      </c>
      <c r="E40" s="20">
        <v>0</v>
      </c>
      <c r="F40" s="20">
        <v>0</v>
      </c>
      <c r="G40" s="21">
        <v>0.5</v>
      </c>
      <c r="H40" s="18">
        <v>1</v>
      </c>
      <c r="I40" s="27"/>
    </row>
    <row r="41" spans="1:9" ht="15">
      <c r="A41" s="32" t="s">
        <v>39</v>
      </c>
      <c r="B41" s="33" t="s">
        <v>40</v>
      </c>
      <c r="C41" s="18">
        <v>0.5</v>
      </c>
      <c r="D41" s="19">
        <v>46246</v>
      </c>
      <c r="E41" s="20">
        <v>0</v>
      </c>
      <c r="F41" s="20">
        <v>0</v>
      </c>
      <c r="G41" s="21">
        <v>0.5</v>
      </c>
      <c r="H41" s="18">
        <v>1</v>
      </c>
      <c r="I41" s="27"/>
    </row>
    <row r="42" spans="1:9" ht="15">
      <c r="A42" s="28" t="s">
        <v>30</v>
      </c>
      <c r="B42" s="29" t="s">
        <v>31</v>
      </c>
      <c r="C42" s="18">
        <v>0.33</v>
      </c>
      <c r="D42" s="19">
        <v>46246</v>
      </c>
      <c r="E42" s="20">
        <v>0</v>
      </c>
      <c r="F42" s="20">
        <v>0</v>
      </c>
      <c r="G42" s="21">
        <v>0.33</v>
      </c>
      <c r="H42" s="18">
        <v>1</v>
      </c>
      <c r="I42" s="27"/>
    </row>
    <row r="43" spans="1:9" ht="15">
      <c r="A43" s="25" t="s">
        <v>100</v>
      </c>
      <c r="B43" s="26" t="s">
        <v>66</v>
      </c>
      <c r="C43" s="18">
        <v>0.75</v>
      </c>
      <c r="D43" s="19">
        <v>46246</v>
      </c>
      <c r="E43" s="20">
        <v>0</v>
      </c>
      <c r="F43" s="20">
        <v>0</v>
      </c>
      <c r="G43" s="21">
        <v>0.75</v>
      </c>
      <c r="H43" s="18">
        <v>1</v>
      </c>
      <c r="I43" s="27"/>
    </row>
    <row r="44" spans="1:9" ht="15">
      <c r="A44" s="25" t="s">
        <v>165</v>
      </c>
      <c r="B44" s="26" t="s">
        <v>66</v>
      </c>
      <c r="C44" s="18">
        <v>1</v>
      </c>
      <c r="D44" s="19">
        <v>46246</v>
      </c>
      <c r="E44" s="20">
        <v>0</v>
      </c>
      <c r="F44" s="20">
        <v>0</v>
      </c>
      <c r="G44" s="21">
        <v>1</v>
      </c>
      <c r="H44" s="18">
        <v>1</v>
      </c>
      <c r="I44" s="27"/>
    </row>
    <row r="45" spans="1:9" ht="15">
      <c r="A45" s="28" t="s">
        <v>161</v>
      </c>
      <c r="B45" s="29" t="s">
        <v>31</v>
      </c>
      <c r="C45" s="18">
        <v>0.67</v>
      </c>
      <c r="D45" s="19">
        <v>46246</v>
      </c>
      <c r="E45" s="20">
        <v>0</v>
      </c>
      <c r="F45" s="20">
        <v>0</v>
      </c>
      <c r="G45" s="21">
        <v>0.67</v>
      </c>
      <c r="H45" s="18">
        <v>1</v>
      </c>
      <c r="I45" s="27"/>
    </row>
    <row r="46" spans="1:9" ht="15">
      <c r="A46" s="28" t="s">
        <v>36</v>
      </c>
      <c r="B46" s="29" t="s">
        <v>31</v>
      </c>
      <c r="C46" s="18">
        <v>0.67</v>
      </c>
      <c r="D46" s="19">
        <v>46246</v>
      </c>
      <c r="E46" s="20">
        <v>0</v>
      </c>
      <c r="F46" s="20">
        <v>0</v>
      </c>
      <c r="G46" s="21">
        <v>0.67</v>
      </c>
      <c r="H46" s="18">
        <v>1</v>
      </c>
      <c r="I46" s="27"/>
    </row>
    <row r="47" spans="1:9" ht="15">
      <c r="A47" s="16" t="s">
        <v>61</v>
      </c>
      <c r="B47" s="17" t="s">
        <v>59</v>
      </c>
      <c r="C47" s="18">
        <v>0.25</v>
      </c>
      <c r="D47" s="19">
        <v>46246</v>
      </c>
      <c r="E47" s="20">
        <v>0</v>
      </c>
      <c r="F47" s="20">
        <v>0</v>
      </c>
      <c r="G47" s="21">
        <v>0.25</v>
      </c>
      <c r="H47" s="18">
        <v>1</v>
      </c>
      <c r="I47" s="27"/>
    </row>
    <row r="48" spans="1:9" ht="15">
      <c r="A48" s="52"/>
      <c r="B48" s="53"/>
      <c r="C48" s="53"/>
      <c r="D48" s="53"/>
      <c r="E48" s="53"/>
      <c r="F48" s="53"/>
      <c r="G48" s="53"/>
      <c r="H48" s="53"/>
      <c r="I48" s="54"/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>
      <selection activeCell="I18" sqref="I18"/>
    </sheetView>
  </sheetViews>
  <sheetFormatPr defaultRowHeight="14.25"/>
  <cols>
    <col min="1" max="1" width="25" customWidth="1"/>
    <col min="2" max="2" width="16" customWidth="1"/>
  </cols>
  <sheetData>
    <row r="1" spans="1:2" ht="15">
      <c r="A1" s="15" t="s">
        <v>149</v>
      </c>
      <c r="B1" s="15" t="s">
        <v>2</v>
      </c>
    </row>
    <row r="2" spans="1:2">
      <c r="A2" s="6" t="s">
        <v>9</v>
      </c>
      <c r="B2" s="6" t="s">
        <v>10</v>
      </c>
    </row>
    <row r="3" spans="1:2">
      <c r="A3" s="6" t="s">
        <v>11</v>
      </c>
      <c r="B3" s="6" t="s">
        <v>10</v>
      </c>
    </row>
    <row r="4" spans="1:2">
      <c r="A4" s="6" t="s">
        <v>12</v>
      </c>
      <c r="B4" s="6" t="s">
        <v>10</v>
      </c>
    </row>
    <row r="5" spans="1:2">
      <c r="A5" s="6" t="s">
        <v>13</v>
      </c>
      <c r="B5" s="6" t="s">
        <v>10</v>
      </c>
    </row>
    <row r="6" spans="1:2">
      <c r="A6" s="6" t="s">
        <v>14</v>
      </c>
      <c r="B6" s="6" t="s">
        <v>10</v>
      </c>
    </row>
    <row r="7" spans="1:2">
      <c r="A7" s="6" t="s">
        <v>15</v>
      </c>
      <c r="B7" s="6" t="s">
        <v>10</v>
      </c>
    </row>
    <row r="8" spans="1:2">
      <c r="A8" s="6" t="s">
        <v>16</v>
      </c>
      <c r="B8" s="6" t="s">
        <v>10</v>
      </c>
    </row>
    <row r="9" spans="1:2">
      <c r="A9" s="6" t="s">
        <v>17</v>
      </c>
      <c r="B9" s="6" t="s">
        <v>10</v>
      </c>
    </row>
    <row r="10" spans="1:2">
      <c r="A10" s="6" t="s">
        <v>18</v>
      </c>
      <c r="B10" s="6" t="s">
        <v>10</v>
      </c>
    </row>
    <row r="11" spans="1:2">
      <c r="A11" s="6" t="s">
        <v>19</v>
      </c>
      <c r="B11" s="6" t="s">
        <v>10</v>
      </c>
    </row>
    <row r="12" spans="1:2">
      <c r="A12" s="6" t="s">
        <v>20</v>
      </c>
      <c r="B12" s="6" t="s">
        <v>10</v>
      </c>
    </row>
    <row r="13" spans="1:2">
      <c r="A13" s="6" t="s">
        <v>21</v>
      </c>
      <c r="B13" s="6" t="s">
        <v>10</v>
      </c>
    </row>
    <row r="14" spans="1:2">
      <c r="A14" s="6" t="s">
        <v>173</v>
      </c>
      <c r="B14" s="6" t="s">
        <v>10</v>
      </c>
    </row>
    <row r="15" spans="1:2">
      <c r="A15" s="6"/>
      <c r="B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Bimal Pachhai</dc:creator>
  <cp:keywords/>
  <dc:description/>
  <cp:lastModifiedBy/>
  <cp:revision/>
  <dcterms:created xsi:type="dcterms:W3CDTF">2026-07-16T04:23:35Z</dcterms:created>
  <dcterms:modified xsi:type="dcterms:W3CDTF">2026-08-15T00:11:40Z</dcterms:modified>
  <cp:category/>
  <cp:contentStatus/>
</cp:coreProperties>
</file>